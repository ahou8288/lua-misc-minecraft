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ew\Dropbox\resume stuff\Programming Portfolio\Risk\"/>
    </mc:Choice>
  </mc:AlternateContent>
  <bookViews>
    <workbookView xWindow="480" yWindow="90" windowWidth="18195" windowHeight="7230"/>
  </bookViews>
  <sheets>
    <sheet name="Board" sheetId="1" r:id="rId1"/>
    <sheet name="Inputs" sheetId="2" r:id="rId2"/>
    <sheet name="Test board" sheetId="3" r:id="rId3"/>
    <sheet name="Board creator" sheetId="6" r:id="rId4"/>
    <sheet name="Completion" sheetId="4" r:id="rId5"/>
    <sheet name="Variables" sheetId="8" r:id="rId6"/>
    <sheet name="a" sheetId="5" state="hidden" r:id="rId7"/>
    <sheet name="b" sheetId="7" state="hidden" r:id="rId8"/>
  </sheets>
  <functionGroups builtInGroupCount="18"/>
  <calcPr calcId="152511" calcMode="manual" iterate="1" iterateCount="1"/>
</workbook>
</file>

<file path=xl/calcChain.xml><?xml version="1.0" encoding="utf-8"?>
<calcChain xmlns="http://schemas.openxmlformats.org/spreadsheetml/2006/main">
  <c r="R7" i="2" l="1"/>
  <c r="R8" i="2"/>
  <c r="R9" i="2"/>
  <c r="R10" i="2"/>
  <c r="R11" i="2"/>
  <c r="R4" i="2"/>
  <c r="R5" i="2"/>
  <c r="R6" i="2"/>
  <c r="E45" i="7" l="1"/>
  <c r="E47" i="7"/>
  <c r="E49" i="7"/>
  <c r="E51" i="7"/>
  <c r="E53" i="7"/>
  <c r="E55" i="7"/>
  <c r="E57" i="7"/>
  <c r="E59" i="7"/>
  <c r="E61" i="7"/>
  <c r="E63" i="7"/>
  <c r="E65" i="7"/>
  <c r="E67" i="7"/>
  <c r="E69" i="7"/>
  <c r="E71" i="7"/>
  <c r="E73" i="7"/>
  <c r="E75" i="7"/>
  <c r="E77" i="7"/>
  <c r="E79" i="7"/>
  <c r="E81" i="7"/>
  <c r="E83" i="7"/>
  <c r="E85" i="7"/>
  <c r="E87" i="7"/>
  <c r="E89" i="7"/>
  <c r="E91" i="7"/>
  <c r="E93" i="7"/>
  <c r="E95" i="7"/>
  <c r="E97" i="7"/>
  <c r="E99" i="7"/>
  <c r="E101" i="7"/>
  <c r="E103" i="7"/>
  <c r="E105" i="7"/>
  <c r="E107" i="7"/>
  <c r="E109" i="7"/>
  <c r="E111" i="7"/>
  <c r="E113" i="7"/>
  <c r="E115" i="7"/>
  <c r="E117" i="7"/>
  <c r="E119" i="7"/>
  <c r="E121" i="7"/>
  <c r="E123" i="7"/>
  <c r="E125" i="7"/>
  <c r="E127" i="7"/>
  <c r="E129" i="7"/>
  <c r="E131" i="7"/>
  <c r="E133" i="7"/>
  <c r="E135" i="7"/>
  <c r="E137" i="7"/>
  <c r="E139" i="7"/>
  <c r="E141" i="7"/>
  <c r="E143" i="7"/>
  <c r="E145" i="7"/>
  <c r="E147" i="7"/>
  <c r="E149" i="7"/>
  <c r="E151" i="7"/>
  <c r="E153" i="7"/>
  <c r="E155" i="7"/>
  <c r="E157" i="7"/>
  <c r="E159" i="7"/>
  <c r="E161" i="7"/>
  <c r="E163" i="7"/>
  <c r="E165" i="7"/>
  <c r="E167" i="7"/>
  <c r="E169" i="7"/>
  <c r="E171" i="7"/>
  <c r="E173" i="7"/>
  <c r="E175" i="7"/>
  <c r="E177" i="7"/>
  <c r="E7" i="7"/>
  <c r="E9" i="7"/>
  <c r="E11" i="7"/>
  <c r="E13" i="7"/>
  <c r="E15" i="7"/>
  <c r="E17" i="7"/>
  <c r="E19" i="7"/>
  <c r="E21" i="7"/>
  <c r="E23" i="7"/>
  <c r="E25" i="7"/>
  <c r="E27" i="7"/>
  <c r="E29" i="7"/>
  <c r="E31" i="7"/>
  <c r="E33" i="7"/>
  <c r="E35" i="7"/>
  <c r="E37" i="7"/>
  <c r="E39" i="7"/>
  <c r="E41" i="7"/>
  <c r="E43" i="7"/>
  <c r="E5" i="7"/>
  <c r="E3" i="7"/>
  <c r="F3" i="7" s="1"/>
  <c r="F5" i="7" s="1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" i="7"/>
  <c r="D40" i="7"/>
  <c r="D41" i="7"/>
  <c r="D42" i="7"/>
  <c r="D43" i="7"/>
  <c r="D44" i="7"/>
  <c r="D5" i="7"/>
  <c r="D6" i="7"/>
  <c r="D7" i="7"/>
  <c r="D8" i="7"/>
  <c r="D3" i="7"/>
  <c r="F7" i="7" l="1"/>
  <c r="F9" i="7" s="1"/>
  <c r="H125" i="5"/>
  <c r="H126" i="5" s="1"/>
  <c r="D125" i="5"/>
  <c r="F11" i="7" l="1"/>
  <c r="F13" i="7" s="1"/>
  <c r="F15" i="7" s="1"/>
  <c r="F17" i="7" s="1"/>
  <c r="F19" i="7" s="1"/>
  <c r="F21" i="7" s="1"/>
  <c r="F23" i="7" s="1"/>
  <c r="F25" i="7" s="1"/>
  <c r="F27" i="7" s="1"/>
  <c r="F29" i="7" s="1"/>
  <c r="F31" i="7" s="1"/>
  <c r="F33" i="7" s="1"/>
  <c r="F35" i="7" s="1"/>
  <c r="F37" i="7" s="1"/>
  <c r="F39" i="7" s="1"/>
  <c r="F41" i="7" s="1"/>
  <c r="F43" i="7" s="1"/>
  <c r="F125" i="5"/>
  <c r="D121" i="5"/>
  <c r="D123" i="5"/>
  <c r="F123" i="5" s="1"/>
  <c r="H43" i="7" l="1"/>
  <c r="F45" i="7"/>
  <c r="F47" i="7" s="1"/>
  <c r="F49" i="7" s="1"/>
  <c r="F51" i="7" s="1"/>
  <c r="F53" i="7" s="1"/>
  <c r="F55" i="7" s="1"/>
  <c r="F57" i="7" s="1"/>
  <c r="F59" i="7" s="1"/>
  <c r="F61" i="7" s="1"/>
  <c r="F63" i="7" s="1"/>
  <c r="F65" i="7" s="1"/>
  <c r="F67" i="7" s="1"/>
  <c r="F69" i="7" s="1"/>
  <c r="F71" i="7" s="1"/>
  <c r="F73" i="7" s="1"/>
  <c r="F75" i="7" s="1"/>
  <c r="F77" i="7" s="1"/>
  <c r="F79" i="7" s="1"/>
  <c r="F81" i="7" s="1"/>
  <c r="F83" i="7" s="1"/>
  <c r="F85" i="7" s="1"/>
  <c r="F87" i="7" s="1"/>
  <c r="F89" i="7" s="1"/>
  <c r="F91" i="7" s="1"/>
  <c r="F93" i="7" s="1"/>
  <c r="F95" i="7" s="1"/>
  <c r="F97" i="7" s="1"/>
  <c r="F99" i="7" s="1"/>
  <c r="F101" i="7" s="1"/>
  <c r="F103" i="7" s="1"/>
  <c r="F105" i="7" s="1"/>
  <c r="F107" i="7" s="1"/>
  <c r="F109" i="7" s="1"/>
  <c r="F111" i="7" s="1"/>
  <c r="F113" i="7" s="1"/>
  <c r="F115" i="7" s="1"/>
  <c r="F117" i="7" s="1"/>
  <c r="F119" i="7" s="1"/>
  <c r="F121" i="7" s="1"/>
  <c r="F123" i="7" s="1"/>
  <c r="F125" i="7" s="1"/>
  <c r="F127" i="7" s="1"/>
  <c r="F129" i="7" s="1"/>
  <c r="F131" i="7" s="1"/>
  <c r="F133" i="7" s="1"/>
  <c r="F135" i="7" s="1"/>
  <c r="F137" i="7" s="1"/>
  <c r="F139" i="7" s="1"/>
  <c r="F141" i="7" s="1"/>
  <c r="F143" i="7" s="1"/>
  <c r="F145" i="7" s="1"/>
  <c r="F147" i="7" s="1"/>
  <c r="F149" i="7" s="1"/>
  <c r="F151" i="7" s="1"/>
  <c r="F153" i="7" s="1"/>
  <c r="F155" i="7" s="1"/>
  <c r="F157" i="7" s="1"/>
  <c r="F159" i="7" s="1"/>
  <c r="F161" i="7" s="1"/>
  <c r="F163" i="7" s="1"/>
  <c r="F165" i="7" s="1"/>
  <c r="F167" i="7" s="1"/>
  <c r="F169" i="7" s="1"/>
  <c r="F171" i="7" s="1"/>
  <c r="F173" i="7" s="1"/>
  <c r="F175" i="7" s="1"/>
  <c r="F177" i="7" s="1"/>
  <c r="F121" i="5"/>
  <c r="D105" i="5"/>
  <c r="F105" i="5" s="1"/>
  <c r="D107" i="5"/>
  <c r="F107" i="5" s="1"/>
  <c r="D109" i="5"/>
  <c r="F109" i="5" s="1"/>
  <c r="D111" i="5"/>
  <c r="F111" i="5" s="1"/>
  <c r="D113" i="5"/>
  <c r="F113" i="5" s="1"/>
  <c r="D115" i="5"/>
  <c r="F115" i="5" s="1"/>
  <c r="D117" i="5"/>
  <c r="F117" i="5" s="1"/>
  <c r="D119" i="5"/>
  <c r="F119" i="5" s="1"/>
  <c r="D103" i="5"/>
  <c r="F103" i="5" s="1"/>
  <c r="AC11" i="3" l="1"/>
  <c r="AC12" i="3"/>
  <c r="AC13" i="3"/>
  <c r="AC14" i="3"/>
  <c r="AC15" i="3"/>
  <c r="AC16" i="3"/>
  <c r="AC10" i="3"/>
  <c r="Y11" i="3"/>
  <c r="Y12" i="3"/>
  <c r="AA12" i="3" s="1"/>
  <c r="AD12" i="3" s="1"/>
  <c r="Y13" i="3"/>
  <c r="Y14" i="3"/>
  <c r="AA14" i="3" s="1"/>
  <c r="AD14" i="3" s="1"/>
  <c r="Y15" i="3"/>
  <c r="Y16" i="3"/>
  <c r="AA16" i="3" s="1"/>
  <c r="AD16" i="3" s="1"/>
  <c r="Y10" i="3"/>
  <c r="AA10" i="3" s="1"/>
  <c r="AD10" i="3" s="1"/>
  <c r="AA11" i="3"/>
  <c r="AD11" i="3" s="1"/>
  <c r="AA13" i="3"/>
  <c r="AD13" i="3" s="1"/>
  <c r="AA15" i="3"/>
  <c r="AD15" i="3" s="1"/>
  <c r="A101" i="5" l="1"/>
  <c r="D101" i="5" s="1"/>
  <c r="E101" i="5" l="1"/>
  <c r="E103" i="5" s="1"/>
  <c r="E105" i="5" s="1"/>
  <c r="E107" i="5" s="1"/>
  <c r="E109" i="5" s="1"/>
  <c r="E111" i="5" s="1"/>
  <c r="E113" i="5" s="1"/>
  <c r="E115" i="5" s="1"/>
  <c r="E117" i="5" s="1"/>
  <c r="E119" i="5" s="1"/>
  <c r="F101" i="5"/>
  <c r="E121" i="5" l="1"/>
  <c r="E123" i="5" s="1"/>
  <c r="E125" i="5" s="1"/>
  <c r="E128" i="5" s="1"/>
  <c r="H128" i="5" s="1"/>
</calcChain>
</file>

<file path=xl/sharedStrings.xml><?xml version="1.0" encoding="utf-8"?>
<sst xmlns="http://schemas.openxmlformats.org/spreadsheetml/2006/main" count="156" uniqueCount="145">
  <si>
    <t>Name</t>
  </si>
  <si>
    <t>AI</t>
  </si>
  <si>
    <t>Colour</t>
  </si>
  <si>
    <t>Jaba</t>
  </si>
  <si>
    <t>Solo</t>
  </si>
  <si>
    <t>Han</t>
  </si>
  <si>
    <t>Value</t>
  </si>
  <si>
    <t>From</t>
  </si>
  <si>
    <t>To</t>
  </si>
  <si>
    <t>Num Continents</t>
  </si>
  <si>
    <t>Subs</t>
  </si>
  <si>
    <t>inputstoarray</t>
  </si>
  <si>
    <t>createadjacencymatrix</t>
  </si>
  <si>
    <t>countreinforcements</t>
  </si>
  <si>
    <t>countcontinents</t>
  </si>
  <si>
    <t>startingreinforcePlayer</t>
  </si>
  <si>
    <t>startingreinforceAI</t>
  </si>
  <si>
    <t>turnreinforceAI</t>
  </si>
  <si>
    <t>turnreinforcePlayer</t>
  </si>
  <si>
    <t>Complete</t>
  </si>
  <si>
    <t>attackqueryAI</t>
  </si>
  <si>
    <t>AItarget()</t>
  </si>
  <si>
    <t>resolve(home,target)</t>
  </si>
  <si>
    <t>gameover()</t>
  </si>
  <si>
    <t>attackqueryAI(turn)</t>
  </si>
  <si>
    <t>transportAI</t>
  </si>
  <si>
    <t>Playertarget()</t>
  </si>
  <si>
    <t>transportPlayer</t>
  </si>
  <si>
    <t>main</t>
  </si>
  <si>
    <t>Dan</t>
  </si>
  <si>
    <t>Man</t>
  </si>
  <si>
    <t>NSW</t>
  </si>
  <si>
    <t>Qld</t>
  </si>
  <si>
    <t>SA</t>
  </si>
  <si>
    <t>NT</t>
  </si>
  <si>
    <t>WA</t>
  </si>
  <si>
    <t>Vic</t>
  </si>
  <si>
    <t>Tas</t>
  </si>
  <si>
    <t>startingreinforce2Player</t>
  </si>
  <si>
    <t>startingreinforce2AI</t>
  </si>
  <si>
    <t>i</t>
  </si>
  <si>
    <t>roy(i)</t>
  </si>
  <si>
    <t>For Each loops</t>
  </si>
  <si>
    <t>rangeterry</t>
  </si>
  <si>
    <t>Finished</t>
  </si>
  <si>
    <t>Working, but unfinished</t>
  </si>
  <si>
    <t>Not started</t>
  </si>
  <si>
    <t>pathpossible</t>
  </si>
  <si>
    <t>First day</t>
  </si>
  <si>
    <t>Second day</t>
  </si>
  <si>
    <t>num</t>
  </si>
  <si>
    <t>log(num)</t>
  </si>
  <si>
    <t>bonus</t>
  </si>
  <si>
    <t>log/bonus</t>
  </si>
  <si>
    <t>borders</t>
  </si>
  <si>
    <t>num-borders</t>
  </si>
  <si>
    <t>Final value?</t>
  </si>
  <si>
    <t>contbonus/log(size)+(size/(borders+0.5))</t>
  </si>
  <si>
    <t>AI in development</t>
  </si>
  <si>
    <t>board creator</t>
  </si>
  <si>
    <t>instructions</t>
  </si>
  <si>
    <t>setup</t>
  </si>
  <si>
    <t>num hours</t>
  </si>
  <si>
    <t>in 1 week</t>
  </si>
  <si>
    <t>num weeks</t>
  </si>
  <si>
    <t>num days</t>
  </si>
  <si>
    <t>total hours in project</t>
  </si>
  <si>
    <t>Arrays</t>
  </si>
  <si>
    <t>2D</t>
  </si>
  <si>
    <t>nterritories</t>
  </si>
  <si>
    <t>nplayers</t>
  </si>
  <si>
    <t>turn</t>
  </si>
  <si>
    <t>unitsplaced</t>
  </si>
  <si>
    <t>unitseach</t>
  </si>
  <si>
    <t>startunits</t>
  </si>
  <si>
    <t>territory_ownership</t>
  </si>
  <si>
    <t>territory_units</t>
  </si>
  <si>
    <t>territory_continent</t>
  </si>
  <si>
    <t>territory_contname</t>
  </si>
  <si>
    <t>territory_contbonus</t>
  </si>
  <si>
    <t>territory_contcolour</t>
  </si>
  <si>
    <t>territory_name</t>
  </si>
  <si>
    <t>playerAI</t>
  </si>
  <si>
    <t>playername</t>
  </si>
  <si>
    <t>playercolour</t>
  </si>
  <si>
    <t>playerdead</t>
  </si>
  <si>
    <t>isadjacent</t>
  </si>
  <si>
    <t>exportvariable "nterritories", nterritories, filepath</t>
  </si>
  <si>
    <t>exportvariable "nplayers", nplayers, filepath</t>
  </si>
  <si>
    <t>exportvariable "turn", turn, filepath</t>
  </si>
  <si>
    <t>exportvariable "unitsplaced", unitsplaced, filepath</t>
  </si>
  <si>
    <t>exportvariable "unitseach", unitseach, filepath</t>
  </si>
  <si>
    <t>exportvariable "startunits", startunits, filepath</t>
  </si>
  <si>
    <t>exportarray "territory_ownership", arr:=territory_ownership, filepath:=filepath</t>
  </si>
  <si>
    <t>exportarray "territory_units", arr:=territory_units, filepath:=filepath</t>
  </si>
  <si>
    <t>exportarray "territory_continent", arr:=territory_continent, filepath:=filepath</t>
  </si>
  <si>
    <t>exportarray "territory_contname", arr:=territory_contname, filepath:=filepath</t>
  </si>
  <si>
    <t>exportarray "territory_contbonus", arr:=territory_contbonus, filepath:=filepath</t>
  </si>
  <si>
    <t>exportarray "territory_contcolour", arr:=territory_contcolour, filepath:=filepath</t>
  </si>
  <si>
    <t>exportarray "territory_name", arr:=territory_name, filepath:=filepath</t>
  </si>
  <si>
    <t>exportarray "playerAI", arr:=playerAI, filepath:=filepath</t>
  </si>
  <si>
    <t>exportarray "playername", arr:=playername, filepath:=filepath</t>
  </si>
  <si>
    <t>exportarray "playercolour", arr:=playercolour, filepath:=filepath</t>
  </si>
  <si>
    <t>exportarray "playerdead", arr:=playerdead, filepath:=filepath</t>
  </si>
  <si>
    <t>Variable</t>
  </si>
  <si>
    <t>1 = open</t>
  </si>
  <si>
    <t>0 = close</t>
  </si>
  <si>
    <t>d</t>
  </si>
  <si>
    <t>a</t>
  </si>
  <si>
    <t>b</t>
  </si>
  <si>
    <t>c</t>
  </si>
  <si>
    <t>e</t>
  </si>
  <si>
    <t>f</t>
  </si>
  <si>
    <t>g</t>
  </si>
  <si>
    <t>h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</si>
  <si>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</si>
  <si>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</si>
  <si>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</si>
  <si>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</si>
  <si>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</si>
  <si>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</si>
  <si>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</si>
  <si>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</si>
  <si>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</si>
  <si>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</si>
  <si>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</si>
  <si>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</si>
  <si>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</si>
  <si>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</si>
  <si>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</si>
  <si>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</si>
  <si>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</si>
  <si>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Control</t>
  </si>
  <si>
    <t>NZ</t>
  </si>
  <si>
    <t>Palette</t>
  </si>
  <si>
    <t>Version 3</t>
  </si>
  <si>
    <t>Starting1</t>
  </si>
  <si>
    <t>Starting2</t>
  </si>
  <si>
    <t>Turnreinforce</t>
  </si>
  <si>
    <t>Attacking</t>
  </si>
  <si>
    <t>Moving</t>
  </si>
  <si>
    <t>Startunits</t>
  </si>
  <si>
    <t>Units</t>
  </si>
  <si>
    <t>Numplayers</t>
  </si>
  <si>
    <t>10+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</si>
</sst>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1"/>
      <name val="Franklin Gothic Demi Cond"/>
      <family val="2"/>
    </font>
    <font>
      <sz val="11"/>
      <color theme="1"/>
      <name val="Gill Sans Ultra Bold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7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65FFAB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FD8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DE9D9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8"/>
      </left>
      <right/>
      <top style="thick">
        <color indexed="8"/>
      </top>
      <bottom/>
      <diagonal/>
    </border>
    <border>
      <left/>
      <right/>
      <top style="thick">
        <color indexed="8"/>
      </top>
      <bottom/>
      <diagonal/>
    </border>
    <border>
      <left/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thick">
        <color indexed="8"/>
      </left>
      <right/>
      <top/>
      <bottom style="thick">
        <color indexed="8"/>
      </bottom>
      <diagonal/>
    </border>
    <border>
      <left/>
      <right style="thick">
        <color indexed="8"/>
      </right>
      <top/>
      <bottom/>
      <diagonal/>
    </border>
    <border>
      <left style="thick">
        <color indexed="40"/>
      </left>
      <right/>
      <top style="thick">
        <color indexed="40"/>
      </top>
      <bottom/>
      <diagonal/>
    </border>
    <border>
      <left/>
      <right style="thick">
        <color indexed="40"/>
      </right>
      <top style="thick">
        <color indexed="40"/>
      </top>
      <bottom/>
      <diagonal/>
    </border>
    <border>
      <left style="thick">
        <color indexed="40"/>
      </left>
      <right/>
      <top/>
      <bottom style="thick">
        <color indexed="40"/>
      </bottom>
      <diagonal/>
    </border>
    <border>
      <left/>
      <right/>
      <top style="thick">
        <color indexed="40"/>
      </top>
      <bottom style="thick">
        <color indexed="40"/>
      </bottom>
      <diagonal/>
    </border>
    <border>
      <left style="thick">
        <color indexed="16"/>
      </left>
      <right/>
      <top style="thick">
        <color indexed="16"/>
      </top>
      <bottom/>
      <diagonal/>
    </border>
    <border>
      <left/>
      <right/>
      <top style="thick">
        <color indexed="16"/>
      </top>
      <bottom/>
      <diagonal/>
    </border>
    <border>
      <left/>
      <right style="thick">
        <color indexed="16"/>
      </right>
      <top style="thick">
        <color indexed="16"/>
      </top>
      <bottom style="thick">
        <color indexed="16"/>
      </bottom>
      <diagonal/>
    </border>
    <border>
      <left style="thick">
        <color indexed="16"/>
      </left>
      <right/>
      <top/>
      <bottom/>
      <diagonal/>
    </border>
    <border>
      <left/>
      <right style="thick">
        <color indexed="16"/>
      </right>
      <top/>
      <bottom style="thick">
        <color indexed="16"/>
      </bottom>
      <diagonal/>
    </border>
    <border>
      <left style="thick">
        <color indexed="8"/>
      </left>
      <right style="thick">
        <color indexed="8"/>
      </right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/>
      <diagonal/>
    </border>
    <border>
      <left style="thick">
        <color indexed="40"/>
      </left>
      <right style="thick">
        <color indexed="40"/>
      </right>
      <top/>
      <bottom/>
      <diagonal/>
    </border>
    <border>
      <left style="thick">
        <color indexed="12"/>
      </left>
      <right/>
      <top style="thick">
        <color indexed="12"/>
      </top>
      <bottom/>
      <diagonal/>
    </border>
    <border>
      <left style="thick">
        <color indexed="16"/>
      </left>
      <right/>
      <top style="thick">
        <color indexed="16"/>
      </top>
      <bottom style="thick">
        <color indexed="16"/>
      </bottom>
      <diagonal/>
    </border>
    <border>
      <left/>
      <right/>
      <top/>
      <bottom style="thick">
        <color indexed="16"/>
      </bottom>
      <diagonal/>
    </border>
    <border>
      <left style="thick">
        <color indexed="10"/>
      </left>
      <right/>
      <top/>
      <bottom/>
      <diagonal/>
    </border>
    <border>
      <left/>
      <right/>
      <top style="thick">
        <color indexed="10"/>
      </top>
      <bottom style="thick">
        <color indexed="10"/>
      </bottom>
      <diagonal/>
    </border>
    <border>
      <left style="thick">
        <color indexed="12"/>
      </left>
      <right/>
      <top style="thick">
        <color indexed="12"/>
      </top>
      <bottom style="thick">
        <color indexed="12"/>
      </bottom>
      <diagonal/>
    </border>
    <border>
      <left/>
      <right style="thick">
        <color indexed="12"/>
      </right>
      <top/>
      <bottom/>
      <diagonal/>
    </border>
    <border>
      <left style="thick">
        <color indexed="14"/>
      </left>
      <right/>
      <top style="thick">
        <color indexed="14"/>
      </top>
      <bottom style="thick">
        <color indexed="14"/>
      </bottom>
      <diagonal/>
    </border>
    <border>
      <left/>
      <right style="thick">
        <color indexed="14"/>
      </right>
      <top style="thick">
        <color indexed="14"/>
      </top>
      <bottom/>
      <diagonal/>
    </border>
    <border>
      <left style="thick">
        <color indexed="10"/>
      </left>
      <right style="thick">
        <color indexed="10"/>
      </right>
      <top/>
      <bottom style="thick">
        <color indexed="10"/>
      </bottom>
      <diagonal/>
    </border>
    <border>
      <left style="thick">
        <color indexed="12"/>
      </left>
      <right/>
      <top/>
      <bottom/>
      <diagonal/>
    </border>
    <border>
      <left/>
      <right style="thick">
        <color indexed="12"/>
      </right>
      <top style="thick">
        <color indexed="12"/>
      </top>
      <bottom style="thick">
        <color indexed="12"/>
      </bottom>
      <diagonal/>
    </border>
    <border>
      <left style="thick">
        <color indexed="14"/>
      </left>
      <right/>
      <top/>
      <bottom style="thick">
        <color indexed="14"/>
      </bottom>
      <diagonal/>
    </border>
    <border>
      <left/>
      <right style="thick">
        <color indexed="14"/>
      </right>
      <top style="thick">
        <color indexed="14"/>
      </top>
      <bottom style="thick">
        <color indexed="14"/>
      </bottom>
      <diagonal/>
    </border>
    <border>
      <left style="thick">
        <color indexed="12"/>
      </left>
      <right style="thick">
        <color indexed="12"/>
      </right>
      <top/>
      <bottom style="thick">
        <color indexed="12"/>
      </bottom>
      <diagonal/>
    </border>
    <border>
      <left/>
      <right style="thick">
        <color indexed="8"/>
      </right>
      <top style="thick">
        <color indexed="8"/>
      </top>
      <bottom/>
      <diagonal/>
    </border>
    <border>
      <left style="thick">
        <color indexed="14"/>
      </left>
      <right/>
      <top style="thick">
        <color indexed="14"/>
      </top>
      <bottom/>
      <diagonal/>
    </border>
    <border>
      <left style="thick">
        <color indexed="14"/>
      </left>
      <right/>
      <top/>
      <bottom/>
      <diagonal/>
    </border>
    <border>
      <left style="thick">
        <color indexed="8"/>
      </left>
      <right/>
      <top/>
      <bottom/>
      <diagonal/>
    </border>
    <border>
      <left style="thick">
        <color indexed="10"/>
      </left>
      <right/>
      <top style="thick">
        <color indexed="10"/>
      </top>
      <bottom/>
      <diagonal/>
    </border>
    <border>
      <left/>
      <right/>
      <top style="thick">
        <color indexed="10"/>
      </top>
      <bottom/>
      <diagonal/>
    </border>
    <border>
      <left style="thick">
        <color indexed="11"/>
      </left>
      <right/>
      <top style="thick">
        <color indexed="11"/>
      </top>
      <bottom/>
      <diagonal/>
    </border>
    <border>
      <left/>
      <right/>
      <top style="thick">
        <color indexed="11"/>
      </top>
      <bottom/>
      <diagonal/>
    </border>
    <border>
      <left/>
      <right style="thick">
        <color indexed="11"/>
      </right>
      <top style="thick">
        <color indexed="11"/>
      </top>
      <bottom/>
      <diagonal/>
    </border>
    <border>
      <left style="thick">
        <color indexed="11"/>
      </left>
      <right/>
      <top/>
      <bottom/>
      <diagonal/>
    </border>
    <border>
      <left/>
      <right style="thick">
        <color indexed="11"/>
      </right>
      <top/>
      <bottom/>
      <diagonal/>
    </border>
    <border>
      <left/>
      <right style="thick">
        <color indexed="14"/>
      </right>
      <top/>
      <bottom style="thick">
        <color indexed="14"/>
      </bottom>
      <diagonal/>
    </border>
    <border>
      <left/>
      <right/>
      <top/>
      <bottom style="thick">
        <color indexed="14"/>
      </bottom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/>
      <bottom style="thick">
        <color indexed="10"/>
      </bottom>
      <diagonal/>
    </border>
    <border>
      <left/>
      <right/>
      <top style="thick">
        <color indexed="12"/>
      </top>
      <bottom/>
      <diagonal/>
    </border>
    <border>
      <left style="thick">
        <color indexed="12"/>
      </left>
      <right/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thick">
        <color indexed="15"/>
      </left>
      <right/>
      <top style="thick">
        <color indexed="15"/>
      </top>
      <bottom/>
      <diagonal/>
    </border>
    <border>
      <left/>
      <right style="thick">
        <color indexed="15"/>
      </right>
      <top style="thick">
        <color indexed="15"/>
      </top>
      <bottom/>
      <diagonal/>
    </border>
    <border>
      <left style="thick">
        <color indexed="15"/>
      </left>
      <right/>
      <top/>
      <bottom style="thick">
        <color indexed="15"/>
      </bottom>
      <diagonal/>
    </border>
    <border>
      <left/>
      <right style="thick">
        <color indexed="15"/>
      </right>
      <top/>
      <bottom style="thick">
        <color indexed="15"/>
      </bottom>
      <diagonal/>
    </border>
    <border>
      <left style="thick">
        <color indexed="40"/>
      </left>
      <right style="thick">
        <color indexed="40"/>
      </right>
      <top style="thick">
        <color indexed="40"/>
      </top>
      <bottom/>
      <diagonal/>
    </border>
    <border>
      <left/>
      <right style="thick">
        <color indexed="40"/>
      </right>
      <top/>
      <bottom/>
      <diagonal/>
    </border>
    <border>
      <left style="thick">
        <color indexed="40"/>
      </left>
      <right/>
      <top/>
      <bottom/>
      <diagonal/>
    </border>
    <border>
      <left style="thick">
        <color indexed="25"/>
      </left>
      <right/>
      <top style="thick">
        <color indexed="25"/>
      </top>
      <bottom/>
      <diagonal/>
    </border>
    <border>
      <left style="thick">
        <color indexed="12"/>
      </left>
      <right style="thick">
        <color indexed="12"/>
      </right>
      <top style="thick">
        <color indexed="12"/>
      </top>
      <bottom style="thick">
        <color indexed="12"/>
      </bottom>
      <diagonal/>
    </border>
    <border>
      <left style="thick">
        <color indexed="11"/>
      </left>
      <right style="thick">
        <color indexed="11"/>
      </right>
      <top style="thick">
        <color indexed="11"/>
      </top>
      <bottom style="thick">
        <color indexed="11"/>
      </bottom>
      <diagonal/>
    </border>
    <border>
      <left style="thick">
        <color indexed="14"/>
      </left>
      <right style="thick">
        <color indexed="14"/>
      </right>
      <top style="thick">
        <color indexed="14"/>
      </top>
      <bottom style="thick">
        <color indexed="14"/>
      </bottom>
      <diagonal/>
    </border>
    <border>
      <left style="thick">
        <color indexed="51"/>
      </left>
      <right style="thick">
        <color indexed="51"/>
      </right>
      <top style="thick">
        <color indexed="51"/>
      </top>
      <bottom style="thick">
        <color indexed="51"/>
      </bottom>
      <diagonal/>
    </border>
    <border>
      <left style="thick">
        <color indexed="53"/>
      </left>
      <right style="thick">
        <color indexed="53"/>
      </right>
      <top style="thick">
        <color indexed="53"/>
      </top>
      <bottom style="thick">
        <color indexed="53"/>
      </bottom>
      <diagonal/>
    </border>
    <border>
      <left style="thick">
        <color indexed="53"/>
      </left>
      <right/>
      <top style="thick">
        <color indexed="53"/>
      </top>
      <bottom/>
      <diagonal/>
    </border>
    <border>
      <left style="thick">
        <color indexed="53"/>
      </left>
      <right/>
      <top/>
      <bottom/>
      <diagonal/>
    </border>
    <border>
      <left/>
      <right style="thick">
        <color indexed="53"/>
      </right>
      <top/>
      <bottom style="thick">
        <color indexed="53"/>
      </bottom>
      <diagonal/>
    </border>
    <border>
      <left style="thick">
        <color indexed="53"/>
      </left>
      <right/>
      <top/>
      <bottom style="thick">
        <color indexed="53"/>
      </bottom>
      <diagonal/>
    </border>
    <border>
      <left style="thick">
        <color indexed="51"/>
      </left>
      <right/>
      <top style="thick">
        <color indexed="51"/>
      </top>
      <bottom/>
      <diagonal/>
    </border>
    <border>
      <left/>
      <right style="thick">
        <color indexed="51"/>
      </right>
      <top style="thick">
        <color indexed="51"/>
      </top>
      <bottom/>
      <diagonal/>
    </border>
    <border>
      <left style="thick">
        <color indexed="51"/>
      </left>
      <right/>
      <top/>
      <bottom/>
      <diagonal/>
    </border>
    <border>
      <left/>
      <right/>
      <top/>
      <bottom style="thick">
        <color indexed="53"/>
      </bottom>
      <diagonal/>
    </border>
    <border>
      <left style="thick">
        <color indexed="11"/>
      </left>
      <right style="thick">
        <color indexed="11"/>
      </right>
      <top style="thick">
        <color indexed="11"/>
      </top>
      <bottom/>
      <diagonal/>
    </border>
    <border>
      <left style="thick">
        <color indexed="11"/>
      </left>
      <right style="thick">
        <color indexed="11"/>
      </right>
      <top/>
      <bottom/>
      <diagonal/>
    </border>
    <border>
      <left/>
      <right style="thick">
        <color indexed="12"/>
      </right>
      <top style="thick">
        <color indexed="12"/>
      </top>
      <bottom/>
      <diagonal/>
    </border>
    <border>
      <left style="thick">
        <color indexed="24"/>
      </left>
      <right style="thick">
        <color indexed="24"/>
      </right>
      <top style="thick">
        <color indexed="24"/>
      </top>
      <bottom style="thick">
        <color indexed="24"/>
      </bottom>
      <diagonal/>
    </border>
    <border>
      <left style="thick">
        <color indexed="35"/>
      </left>
      <right style="thick">
        <color indexed="35"/>
      </right>
      <top style="thick">
        <color indexed="35"/>
      </top>
      <bottom style="thick">
        <color indexed="35"/>
      </bottom>
      <diagonal/>
    </border>
    <border>
      <left style="thick">
        <color indexed="29"/>
      </left>
      <right style="thick">
        <color indexed="29"/>
      </right>
      <top style="thick">
        <color indexed="29"/>
      </top>
      <bottom style="thick">
        <color indexed="29"/>
      </bottom>
      <diagonal/>
    </border>
    <border>
      <left/>
      <right/>
      <top style="thick">
        <color indexed="14"/>
      </top>
      <bottom/>
      <diagonal/>
    </border>
    <border>
      <left style="thick">
        <color indexed="24"/>
      </left>
      <right style="thick">
        <color indexed="24"/>
      </right>
      <top style="thick">
        <color indexed="24"/>
      </top>
      <bottom/>
      <diagonal/>
    </border>
    <border>
      <left style="thick">
        <color indexed="24"/>
      </left>
      <right/>
      <top/>
      <bottom/>
      <diagonal/>
    </border>
    <border>
      <left/>
      <right/>
      <top style="thick">
        <color indexed="24"/>
      </top>
      <bottom/>
      <diagonal/>
    </border>
    <border>
      <left/>
      <right style="thick">
        <color indexed="24"/>
      </right>
      <top style="thick">
        <color indexed="24"/>
      </top>
      <bottom style="thick">
        <color indexed="24"/>
      </bottom>
      <diagonal/>
    </border>
    <border>
      <left style="thick">
        <color indexed="24"/>
      </left>
      <right/>
      <top/>
      <bottom style="thick">
        <color indexed="24"/>
      </bottom>
      <diagonal/>
    </border>
    <border>
      <left/>
      <right style="thick">
        <color indexed="24"/>
      </right>
      <top/>
      <bottom style="thick">
        <color indexed="24"/>
      </bottom>
      <diagonal/>
    </border>
    <border>
      <left style="thick">
        <color indexed="35"/>
      </left>
      <right/>
      <top style="thick">
        <color indexed="35"/>
      </top>
      <bottom/>
      <diagonal/>
    </border>
    <border>
      <left/>
      <right style="thick">
        <color indexed="35"/>
      </right>
      <top style="thick">
        <color indexed="35"/>
      </top>
      <bottom/>
      <diagonal/>
    </border>
    <border>
      <left style="thick">
        <color indexed="35"/>
      </left>
      <right/>
      <top/>
      <bottom style="thick">
        <color indexed="35"/>
      </bottom>
      <diagonal/>
    </border>
    <border>
      <left/>
      <right style="thick">
        <color indexed="35"/>
      </right>
      <top/>
      <bottom style="thick">
        <color indexed="35"/>
      </bottom>
      <diagonal/>
    </border>
    <border>
      <left style="thick">
        <color indexed="29"/>
      </left>
      <right style="thick">
        <color indexed="29"/>
      </right>
      <top style="thick">
        <color indexed="29"/>
      </top>
      <bottom/>
      <diagonal/>
    </border>
    <border>
      <left style="thick">
        <color indexed="29"/>
      </left>
      <right style="thick">
        <color indexed="29"/>
      </right>
      <top/>
      <bottom/>
      <diagonal/>
    </border>
    <border>
      <left style="thick">
        <color indexed="29"/>
      </left>
      <right style="thick">
        <color indexed="29"/>
      </right>
      <top/>
      <bottom style="thick">
        <color indexed="29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Fill="1" applyBorder="1"/>
    <xf numFmtId="0" fontId="0" fillId="0" borderId="12" xfId="0" applyBorder="1"/>
    <xf numFmtId="0" fontId="0" fillId="0" borderId="13" xfId="0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17" xfId="0" applyFill="1" applyBorder="1"/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0" fontId="0" fillId="0" borderId="21" xfId="0" applyBorder="1"/>
    <xf numFmtId="0" fontId="0" fillId="0" borderId="22" xfId="0" applyBorder="1"/>
    <xf numFmtId="0" fontId="0" fillId="0" borderId="23" xfId="0" applyFill="1" applyBorder="1"/>
    <xf numFmtId="0" fontId="0" fillId="0" borderId="24" xfId="0" applyFill="1" applyBorder="1"/>
    <xf numFmtId="0" fontId="0" fillId="0" borderId="25" xfId="0" applyBorder="1"/>
    <xf numFmtId="0" fontId="0" fillId="0" borderId="26" xfId="0" applyFill="1" applyBorder="1"/>
    <xf numFmtId="0" fontId="0" fillId="0" borderId="27" xfId="0" applyBorder="1"/>
    <xf numFmtId="0" fontId="0" fillId="0" borderId="28" xfId="0" applyFill="1" applyBorder="1"/>
    <xf numFmtId="0" fontId="0" fillId="0" borderId="22" xfId="0" applyFill="1" applyBorder="1"/>
    <xf numFmtId="0" fontId="0" fillId="0" borderId="29" xfId="0" applyFill="1" applyBorder="1"/>
    <xf numFmtId="0" fontId="0" fillId="0" borderId="30" xfId="0" applyBorder="1"/>
    <xf numFmtId="0" fontId="0" fillId="0" borderId="31" xfId="0" applyFill="1" applyBorder="1"/>
    <xf numFmtId="0" fontId="0" fillId="0" borderId="32" xfId="0" applyFill="1" applyBorder="1"/>
    <xf numFmtId="0" fontId="0" fillId="0" borderId="33" xfId="0" applyBorder="1"/>
    <xf numFmtId="0" fontId="0" fillId="0" borderId="34" xfId="0" applyBorder="1"/>
    <xf numFmtId="0" fontId="0" fillId="0" borderId="35" xfId="0" applyFill="1" applyBorder="1"/>
    <xf numFmtId="0" fontId="0" fillId="0" borderId="36" xfId="0" applyFill="1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Fill="1" applyBorder="1"/>
    <xf numFmtId="0" fontId="0" fillId="0" borderId="0" xfId="0" applyFont="1" applyBorder="1" applyAlignment="1">
      <alignment vertical="center"/>
    </xf>
    <xf numFmtId="0" fontId="0" fillId="0" borderId="41" xfId="0" applyBorder="1"/>
    <xf numFmtId="0" fontId="0" fillId="0" borderId="42" xfId="0" applyBorder="1"/>
    <xf numFmtId="0" fontId="0" fillId="0" borderId="43" xfId="0" applyFill="1" applyBorder="1"/>
    <xf numFmtId="0" fontId="0" fillId="0" borderId="44" xfId="0" applyFill="1" applyBorder="1"/>
    <xf numFmtId="0" fontId="0" fillId="0" borderId="43" xfId="0" applyBorder="1"/>
    <xf numFmtId="0" fontId="0" fillId="0" borderId="44" xfId="0" applyBorder="1"/>
    <xf numFmtId="0" fontId="0" fillId="0" borderId="45" xfId="0" applyFill="1" applyBorder="1"/>
    <xf numFmtId="0" fontId="0" fillId="0" borderId="46" xfId="0" applyFill="1" applyBorder="1"/>
    <xf numFmtId="0" fontId="0" fillId="0" borderId="46" xfId="0" applyBorder="1"/>
    <xf numFmtId="0" fontId="0" fillId="0" borderId="47" xfId="0" applyFill="1" applyBorder="1"/>
    <xf numFmtId="0" fontId="0" fillId="0" borderId="48" xfId="0" applyFill="1" applyBorder="1"/>
    <xf numFmtId="0" fontId="0" fillId="0" borderId="49" xfId="0" applyFill="1" applyBorder="1"/>
    <xf numFmtId="0" fontId="0" fillId="0" borderId="50" xfId="0" applyFill="1" applyBorder="1"/>
    <xf numFmtId="0" fontId="0" fillId="0" borderId="51" xfId="0" applyFill="1" applyBorder="1"/>
    <xf numFmtId="0" fontId="0" fillId="0" borderId="52" xfId="0" applyBorder="1"/>
    <xf numFmtId="0" fontId="0" fillId="0" borderId="53" xfId="0" applyBorder="1"/>
    <xf numFmtId="0" fontId="0" fillId="0" borderId="54" xfId="0" applyFill="1" applyBorder="1"/>
    <xf numFmtId="0" fontId="0" fillId="0" borderId="38" xfId="0" applyFill="1" applyBorder="1"/>
    <xf numFmtId="0" fontId="0" fillId="0" borderId="55" xfId="0" applyFill="1" applyBorder="1"/>
    <xf numFmtId="0" fontId="0" fillId="0" borderId="56" xfId="0" applyFill="1" applyBorder="1"/>
    <xf numFmtId="0" fontId="0" fillId="0" borderId="37" xfId="0" applyFill="1" applyBorder="1"/>
    <xf numFmtId="0" fontId="0" fillId="0" borderId="57" xfId="0" applyFill="1" applyBorder="1"/>
    <xf numFmtId="0" fontId="0" fillId="0" borderId="58" xfId="0" applyFill="1" applyBorder="1"/>
    <xf numFmtId="0" fontId="0" fillId="0" borderId="59" xfId="0" applyBorder="1"/>
    <xf numFmtId="0" fontId="0" fillId="0" borderId="60" xfId="0" applyBorder="1"/>
    <xf numFmtId="0" fontId="0" fillId="0" borderId="61" xfId="0" applyFill="1" applyBorder="1"/>
    <xf numFmtId="0" fontId="0" fillId="0" borderId="62" xfId="0" applyFill="1" applyBorder="1"/>
    <xf numFmtId="0" fontId="1" fillId="0" borderId="0" xfId="0" applyFont="1" applyBorder="1"/>
    <xf numFmtId="0" fontId="3" fillId="0" borderId="0" xfId="0" applyFont="1" applyBorder="1"/>
    <xf numFmtId="0" fontId="2" fillId="0" borderId="0" xfId="0" applyFont="1" applyBorder="1"/>
    <xf numFmtId="0" fontId="0" fillId="0" borderId="0" xfId="0" applyFont="1" applyBorder="1"/>
    <xf numFmtId="0" fontId="0" fillId="0" borderId="63" xfId="0" applyBorder="1"/>
    <xf numFmtId="0" fontId="0" fillId="0" borderId="25" xfId="0" applyFill="1" applyBorder="1"/>
    <xf numFmtId="0" fontId="0" fillId="0" borderId="64" xfId="0" applyFill="1" applyBorder="1"/>
    <xf numFmtId="0" fontId="0" fillId="0" borderId="65" xfId="0" applyFill="1" applyBorder="1"/>
    <xf numFmtId="0" fontId="0" fillId="0" borderId="66" xfId="0" applyFill="1" applyBorder="1"/>
    <xf numFmtId="0" fontId="0" fillId="0" borderId="0" xfId="0" applyFill="1"/>
    <xf numFmtId="0" fontId="5" fillId="0" borderId="0" xfId="0" applyFont="1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4" fillId="0" borderId="0" xfId="0" applyFont="1" applyFill="1"/>
    <xf numFmtId="0" fontId="0" fillId="4" borderId="0" xfId="0" applyFill="1"/>
    <xf numFmtId="22" fontId="0" fillId="0" borderId="0" xfId="0" applyNumberFormat="1"/>
    <xf numFmtId="14" fontId="0" fillId="0" borderId="0" xfId="0" applyNumberFormat="1"/>
    <xf numFmtId="0" fontId="7" fillId="0" borderId="0" xfId="1"/>
    <xf numFmtId="0" fontId="0" fillId="0" borderId="68" xfId="0" applyBorder="1"/>
    <xf numFmtId="0" fontId="0" fillId="0" borderId="67" xfId="0" applyBorder="1"/>
    <xf numFmtId="0" fontId="0" fillId="0" borderId="70" xfId="0" applyBorder="1"/>
    <xf numFmtId="0" fontId="0" fillId="0" borderId="71" xfId="0" applyFill="1" applyBorder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0" borderId="69" xfId="0" applyBorder="1"/>
    <xf numFmtId="0" fontId="0" fillId="0" borderId="83" xfId="0" applyBorder="1"/>
    <xf numFmtId="0" fontId="0" fillId="0" borderId="84" xfId="0" applyFill="1" applyBorder="1"/>
    <xf numFmtId="0" fontId="0" fillId="0" borderId="85" xfId="0" applyBorder="1"/>
    <xf numFmtId="0" fontId="0" fillId="0" borderId="0" xfId="0" applyFont="1" applyFill="1" applyBorder="1"/>
    <xf numFmtId="0" fontId="0" fillId="3" borderId="0" xfId="0" applyFill="1" applyBorder="1"/>
    <xf numFmtId="0" fontId="0" fillId="2" borderId="0" xfId="0" applyFill="1" applyBorder="1"/>
    <xf numFmtId="0" fontId="0" fillId="12" borderId="0" xfId="0" applyFill="1" applyBorder="1"/>
    <xf numFmtId="0" fontId="0" fillId="5" borderId="0" xfId="0" applyFill="1" applyBorder="1"/>
    <xf numFmtId="0" fontId="0" fillId="6" borderId="0" xfId="0" applyFill="1" applyBorder="1"/>
    <xf numFmtId="0" fontId="0" fillId="7" borderId="0" xfId="0" applyFill="1" applyBorder="1"/>
    <xf numFmtId="0" fontId="0" fillId="8" borderId="0" xfId="0" applyFill="1" applyBorder="1"/>
    <xf numFmtId="0" fontId="0" fillId="9" borderId="0" xfId="0" applyFill="1" applyBorder="1"/>
    <xf numFmtId="0" fontId="0" fillId="11" borderId="0" xfId="0" applyFill="1" applyBorder="1"/>
    <xf numFmtId="0" fontId="0" fillId="68" borderId="0" xfId="0" applyFill="1" applyBorder="1"/>
    <xf numFmtId="0" fontId="0" fillId="10" borderId="0" xfId="0" applyFill="1" applyBorder="1"/>
    <xf numFmtId="0" fontId="0" fillId="69" borderId="0" xfId="0" applyFill="1"/>
    <xf numFmtId="0" fontId="0" fillId="69" borderId="98" xfId="0" applyFont="1" applyFill="1" applyBorder="1"/>
    <xf numFmtId="0" fontId="0" fillId="69" borderId="97" xfId="0" applyFont="1" applyFill="1" applyBorder="1"/>
    <xf numFmtId="0" fontId="0" fillId="69" borderId="99" xfId="0" applyFont="1" applyFill="1" applyBorder="1"/>
    <xf numFmtId="0" fontId="0" fillId="69" borderId="85" xfId="0" applyFont="1" applyFill="1" applyBorder="1"/>
    <xf numFmtId="0" fontId="0" fillId="69" borderId="95" xfId="0" applyFont="1" applyFill="1" applyBorder="1"/>
    <xf numFmtId="0" fontId="0" fillId="69" borderId="32" xfId="0" applyFont="1" applyFill="1" applyBorder="1"/>
    <xf numFmtId="0" fontId="0" fillId="69" borderId="81" xfId="0" applyFont="1" applyFill="1" applyBorder="1"/>
    <xf numFmtId="0" fontId="0" fillId="69" borderId="0" xfId="0" applyFont="1" applyFill="1" applyBorder="1"/>
    <xf numFmtId="0" fontId="0" fillId="69" borderId="86" xfId="0" applyFont="1" applyFill="1" applyBorder="1"/>
    <xf numFmtId="0" fontId="0" fillId="69" borderId="78" xfId="0" applyFont="1" applyFill="1" applyBorder="1"/>
    <xf numFmtId="0" fontId="0" fillId="69" borderId="75" xfId="0" applyFont="1" applyFill="1" applyBorder="1"/>
    <xf numFmtId="0" fontId="0" fillId="69" borderId="96" xfId="0" applyFont="1" applyFill="1" applyBorder="1"/>
    <xf numFmtId="0" fontId="0" fillId="69" borderId="74" xfId="0" applyFont="1" applyFill="1" applyBorder="1"/>
    <xf numFmtId="0" fontId="0" fillId="69" borderId="79" xfId="0" applyFont="1" applyFill="1" applyBorder="1"/>
    <xf numFmtId="0" fontId="0" fillId="69" borderId="38" xfId="0" applyFont="1" applyFill="1" applyBorder="1"/>
    <xf numFmtId="0" fontId="0" fillId="69" borderId="53" xfId="0" applyFont="1" applyFill="1" applyBorder="1"/>
    <xf numFmtId="0" fontId="0" fillId="69" borderId="43" xfId="0" applyFont="1" applyFill="1" applyBorder="1"/>
    <xf numFmtId="0" fontId="0" fillId="69" borderId="73" xfId="0" applyFont="1" applyFill="1" applyBorder="1"/>
    <xf numFmtId="0" fontId="0" fillId="69" borderId="42" xfId="0" applyFont="1" applyFill="1" applyBorder="1"/>
    <xf numFmtId="0" fontId="0" fillId="69" borderId="72" xfId="0" applyFont="1" applyFill="1" applyBorder="1"/>
    <xf numFmtId="0" fontId="0" fillId="69" borderId="36" xfId="0" applyFont="1" applyFill="1" applyBorder="1"/>
    <xf numFmtId="0" fontId="0" fillId="69" borderId="76" xfId="0" applyFont="1" applyFill="1" applyBorder="1"/>
    <xf numFmtId="0" fontId="0" fillId="69" borderId="26" xfId="0" applyFont="1" applyFill="1" applyBorder="1"/>
    <xf numFmtId="0" fontId="0" fillId="69" borderId="50" xfId="0" applyFont="1" applyFill="1" applyBorder="1"/>
    <xf numFmtId="0" fontId="0" fillId="69" borderId="56" xfId="0" applyFont="1" applyFill="1" applyBorder="1"/>
    <xf numFmtId="0" fontId="0" fillId="69" borderId="90" xfId="0" applyFont="1" applyFill="1" applyBorder="1"/>
    <xf numFmtId="0" fontId="0" fillId="69" borderId="94" xfId="0" applyFont="1" applyFill="1" applyBorder="1"/>
    <xf numFmtId="0" fontId="0" fillId="69" borderId="93" xfId="0" applyFont="1" applyFill="1" applyBorder="1"/>
    <xf numFmtId="0" fontId="0" fillId="69" borderId="88" xfId="0" applyFont="1" applyFill="1" applyBorder="1"/>
    <xf numFmtId="0" fontId="0" fillId="69" borderId="92" xfId="0" applyFont="1" applyFill="1" applyBorder="1"/>
    <xf numFmtId="0" fontId="0" fillId="69" borderId="91" xfId="0" applyFont="1" applyFill="1" applyBorder="1"/>
    <xf numFmtId="0" fontId="0" fillId="69" borderId="89" xfId="0" applyFont="1" applyFill="1" applyBorder="1"/>
    <xf numFmtId="0" fontId="0" fillId="69" borderId="82" xfId="0" applyFont="1" applyFill="1" applyBorder="1"/>
    <xf numFmtId="0" fontId="0" fillId="69" borderId="51" xfId="0" applyFont="1" applyFill="1" applyBorder="1"/>
    <xf numFmtId="0" fontId="0" fillId="69" borderId="49" xfId="0" applyFont="1" applyFill="1" applyBorder="1"/>
    <xf numFmtId="0" fontId="0" fillId="69" borderId="47" xfId="0" applyFont="1" applyFill="1" applyBorder="1"/>
    <xf numFmtId="0" fontId="0" fillId="69" borderId="80" xfId="0" applyFont="1" applyFill="1" applyBorder="1"/>
    <xf numFmtId="0" fontId="0" fillId="69" borderId="77" xfId="0" applyFont="1" applyFill="1" applyBorder="1"/>
    <xf numFmtId="0" fontId="0" fillId="69" borderId="87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7979"/>
      <color rgb="FFFF9FD8"/>
      <color rgb="FFFF6DC4"/>
      <color rgb="FFDFE775"/>
      <color rgb="FF7DA9DF"/>
      <color rgb="FF65FF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19</xdr:row>
          <xdr:rowOff>47625</xdr:rowOff>
        </xdr:from>
        <xdr:to>
          <xdr:col>15</xdr:col>
          <xdr:colOff>219075</xdr:colOff>
          <xdr:row>20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238125</xdr:colOff>
          <xdr:row>19</xdr:row>
          <xdr:rowOff>57150</xdr:rowOff>
        </xdr:from>
        <xdr:to>
          <xdr:col>21</xdr:col>
          <xdr:colOff>0</xdr:colOff>
          <xdr:row>20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 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19</xdr:row>
          <xdr:rowOff>38100</xdr:rowOff>
        </xdr:from>
        <xdr:to>
          <xdr:col>12</xdr:col>
          <xdr:colOff>133350</xdr:colOff>
          <xdr:row>20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Help/ 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2</xdr:row>
      <xdr:rowOff>0</xdr:rowOff>
    </xdr:from>
    <xdr:to>
      <xdr:col>25</xdr:col>
      <xdr:colOff>9525</xdr:colOff>
      <xdr:row>6</xdr:row>
      <xdr:rowOff>9525</xdr:rowOff>
    </xdr:to>
    <xdr:cxnSp macro="">
      <xdr:nvCxnSpPr>
        <xdr:cNvPr id="3" name="Straight Arrow Connector 2"/>
        <xdr:cNvCxnSpPr/>
      </xdr:nvCxnSpPr>
      <xdr:spPr>
        <a:xfrm>
          <a:off x="5638800" y="381000"/>
          <a:ext cx="1228725" cy="77152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219075</xdr:colOff>
      <xdr:row>2</xdr:row>
      <xdr:rowOff>0</xdr:rowOff>
    </xdr:from>
    <xdr:to>
      <xdr:col>25</xdr:col>
      <xdr:colOff>9525</xdr:colOff>
      <xdr:row>6</xdr:row>
      <xdr:rowOff>19050</xdr:rowOff>
    </xdr:to>
    <xdr:cxnSp macro="">
      <xdr:nvCxnSpPr>
        <xdr:cNvPr id="5" name="Straight Arrow Connector 4"/>
        <xdr:cNvCxnSpPr/>
      </xdr:nvCxnSpPr>
      <xdr:spPr>
        <a:xfrm>
          <a:off x="5019675" y="381000"/>
          <a:ext cx="1847850" cy="78105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1</xdr:row>
      <xdr:rowOff>9525</xdr:rowOff>
    </xdr:from>
    <xdr:to>
      <xdr:col>23</xdr:col>
      <xdr:colOff>0</xdr:colOff>
      <xdr:row>1</xdr:row>
      <xdr:rowOff>9525</xdr:rowOff>
    </xdr:to>
    <xdr:cxnSp macro="">
      <xdr:nvCxnSpPr>
        <xdr:cNvPr id="7" name="Straight Arrow Connector 6"/>
        <xdr:cNvCxnSpPr/>
      </xdr:nvCxnSpPr>
      <xdr:spPr>
        <a:xfrm>
          <a:off x="5029200" y="200025"/>
          <a:ext cx="60960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2"/>
  <sheetViews>
    <sheetView tabSelected="1" zoomScaleNormal="100" workbookViewId="0">
      <selection activeCell="Y15" sqref="Y15"/>
    </sheetView>
  </sheetViews>
  <sheetFormatPr defaultRowHeight="15" x14ac:dyDescent="0.25"/>
  <cols>
    <col min="1" max="41" width="3.7109375" customWidth="1"/>
  </cols>
  <sheetData>
    <row r="1" spans="1:41" x14ac:dyDescent="0.25">
      <c r="A1" s="171">
        <v>6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</row>
    <row r="2" spans="1:41" ht="15.75" thickBot="1" x14ac:dyDescent="0.3">
      <c r="A2" s="81"/>
      <c r="B2" s="83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5"/>
    </row>
    <row r="3" spans="1:41" ht="16.5" thickTop="1" thickBot="1" x14ac:dyDescent="0.3">
      <c r="A3" s="81"/>
      <c r="B3" s="86"/>
      <c r="C3" s="159"/>
      <c r="D3" s="159"/>
      <c r="E3" s="159"/>
      <c r="F3" s="159"/>
      <c r="G3" s="159"/>
      <c r="H3" s="159"/>
      <c r="I3" s="159"/>
      <c r="J3" s="208">
        <v>10</v>
      </c>
      <c r="K3" s="159"/>
      <c r="L3" s="159"/>
      <c r="M3" s="159"/>
      <c r="N3" s="159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87"/>
    </row>
    <row r="4" spans="1:41" ht="16.5" thickTop="1" thickBot="1" x14ac:dyDescent="0.3">
      <c r="A4" s="81"/>
      <c r="B4" s="86"/>
      <c r="C4" s="159"/>
      <c r="D4" s="159"/>
      <c r="E4" s="159"/>
      <c r="F4" s="159"/>
      <c r="G4" s="193">
        <v>1</v>
      </c>
      <c r="H4" s="209">
        <v>16</v>
      </c>
      <c r="I4" s="159"/>
      <c r="J4" s="178">
        <v>1</v>
      </c>
      <c r="K4" s="159"/>
      <c r="L4" s="159"/>
      <c r="M4" s="159"/>
      <c r="N4" s="159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87"/>
    </row>
    <row r="5" spans="1:41" ht="16.5" thickTop="1" thickBot="1" x14ac:dyDescent="0.3">
      <c r="A5" s="81"/>
      <c r="B5" s="86"/>
      <c r="C5" s="159"/>
      <c r="D5" s="159"/>
      <c r="E5" s="191">
        <v>76</v>
      </c>
      <c r="F5" s="193">
        <v>1</v>
      </c>
      <c r="G5" s="179">
        <v>1</v>
      </c>
      <c r="H5" s="179">
        <v>1</v>
      </c>
      <c r="I5" s="207">
        <v>1</v>
      </c>
      <c r="J5" s="205">
        <v>1</v>
      </c>
      <c r="K5" s="159"/>
      <c r="L5" s="159"/>
      <c r="M5" s="159"/>
      <c r="N5" s="159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87"/>
    </row>
    <row r="6" spans="1:41" ht="16.5" thickTop="1" thickBot="1" x14ac:dyDescent="0.3">
      <c r="A6" s="81"/>
      <c r="B6" s="86"/>
      <c r="C6" s="159"/>
      <c r="D6" s="191">
        <v>1</v>
      </c>
      <c r="E6" s="179">
        <v>1</v>
      </c>
      <c r="F6" s="181">
        <v>1</v>
      </c>
      <c r="G6" s="179">
        <v>1</v>
      </c>
      <c r="H6" s="179">
        <v>1</v>
      </c>
      <c r="I6" s="195">
        <v>1</v>
      </c>
      <c r="J6" s="179">
        <v>1</v>
      </c>
      <c r="K6" s="206">
        <v>1</v>
      </c>
      <c r="L6" s="159"/>
      <c r="M6" s="159"/>
      <c r="N6" s="159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87"/>
    </row>
    <row r="7" spans="1:41" ht="16.5" thickTop="1" thickBot="1" x14ac:dyDescent="0.3">
      <c r="A7" s="81"/>
      <c r="B7" s="86"/>
      <c r="C7" s="191">
        <v>1</v>
      </c>
      <c r="D7" s="179">
        <v>1</v>
      </c>
      <c r="E7" s="179">
        <v>1</v>
      </c>
      <c r="F7" s="181">
        <v>1</v>
      </c>
      <c r="G7" s="179">
        <v>1</v>
      </c>
      <c r="H7" s="179">
        <v>1</v>
      </c>
      <c r="I7" s="195">
        <v>1</v>
      </c>
      <c r="J7" s="179">
        <v>1</v>
      </c>
      <c r="K7" s="205">
        <v>1</v>
      </c>
      <c r="L7" s="159"/>
      <c r="M7" s="159"/>
      <c r="N7" s="159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87"/>
    </row>
    <row r="8" spans="1:41" ht="15.75" thickTop="1" x14ac:dyDescent="0.25">
      <c r="A8" s="81"/>
      <c r="B8" s="86"/>
      <c r="C8" s="189">
        <v>1</v>
      </c>
      <c r="D8" s="179">
        <v>1</v>
      </c>
      <c r="E8" s="179">
        <v>1</v>
      </c>
      <c r="F8" s="190">
        <v>1</v>
      </c>
      <c r="G8" s="180">
        <v>1</v>
      </c>
      <c r="H8" s="180">
        <v>1</v>
      </c>
      <c r="I8" s="194">
        <v>1</v>
      </c>
      <c r="J8" s="196">
        <v>1</v>
      </c>
      <c r="K8" s="204">
        <v>1</v>
      </c>
      <c r="L8" s="159"/>
      <c r="M8" s="159"/>
      <c r="N8" s="159"/>
      <c r="O8" s="10"/>
      <c r="P8" s="10"/>
      <c r="Q8" s="10"/>
      <c r="R8" s="10"/>
      <c r="S8" s="10"/>
      <c r="T8" s="81"/>
      <c r="U8" s="81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87"/>
    </row>
    <row r="9" spans="1:41" x14ac:dyDescent="0.25">
      <c r="A9" s="81"/>
      <c r="B9" s="86"/>
      <c r="C9" s="189">
        <v>1</v>
      </c>
      <c r="D9" s="179">
        <v>1</v>
      </c>
      <c r="E9" s="179">
        <v>1</v>
      </c>
      <c r="F9" s="188">
        <v>4</v>
      </c>
      <c r="G9" s="179">
        <v>1</v>
      </c>
      <c r="H9" s="179">
        <v>1</v>
      </c>
      <c r="I9" s="192">
        <v>1</v>
      </c>
      <c r="J9" s="179">
        <v>1</v>
      </c>
      <c r="K9" s="177">
        <v>1</v>
      </c>
      <c r="L9" s="159"/>
      <c r="M9" s="159"/>
      <c r="N9" s="159"/>
      <c r="O9" s="10"/>
      <c r="P9" s="10"/>
      <c r="Q9" s="10"/>
      <c r="R9" s="10"/>
      <c r="S9" s="10"/>
      <c r="T9" s="10"/>
      <c r="U9" s="81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87"/>
    </row>
    <row r="10" spans="1:41" ht="15.75" thickBot="1" x14ac:dyDescent="0.3">
      <c r="A10" s="81"/>
      <c r="B10" s="86"/>
      <c r="C10" s="189">
        <v>1</v>
      </c>
      <c r="D10" s="179">
        <v>1</v>
      </c>
      <c r="E10" s="185">
        <v>1</v>
      </c>
      <c r="F10" s="186">
        <v>1</v>
      </c>
      <c r="G10" s="179">
        <v>1</v>
      </c>
      <c r="H10" s="179">
        <v>1</v>
      </c>
      <c r="I10" s="192">
        <v>1</v>
      </c>
      <c r="J10" s="179">
        <v>1</v>
      </c>
      <c r="K10" s="177">
        <v>1</v>
      </c>
      <c r="L10" s="159"/>
      <c r="M10" s="159"/>
      <c r="N10" s="159"/>
      <c r="O10" s="10"/>
      <c r="P10" s="10"/>
      <c r="Q10" s="10"/>
      <c r="R10" s="10"/>
      <c r="S10" s="10"/>
      <c r="T10" s="81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87"/>
    </row>
    <row r="11" spans="1:41" ht="16.5" thickTop="1" thickBot="1" x14ac:dyDescent="0.3">
      <c r="A11" s="81"/>
      <c r="B11" s="86"/>
      <c r="C11" s="182">
        <v>1</v>
      </c>
      <c r="D11" s="184">
        <v>1</v>
      </c>
      <c r="E11" s="159"/>
      <c r="F11" s="159"/>
      <c r="G11" s="186">
        <v>41</v>
      </c>
      <c r="H11" s="187">
        <v>1</v>
      </c>
      <c r="I11" s="210">
        <v>1</v>
      </c>
      <c r="J11" s="179">
        <v>1</v>
      </c>
      <c r="K11" s="177">
        <v>1</v>
      </c>
      <c r="L11" s="159"/>
      <c r="M11" s="159"/>
      <c r="N11" s="159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87"/>
    </row>
    <row r="12" spans="1:41" ht="16.5" thickTop="1" thickBot="1" x14ac:dyDescent="0.3">
      <c r="A12" s="81"/>
      <c r="B12" s="86"/>
      <c r="C12" s="159"/>
      <c r="D12" s="159"/>
      <c r="E12" s="159"/>
      <c r="F12" s="159"/>
      <c r="G12" s="159"/>
      <c r="H12" s="159"/>
      <c r="I12" s="200">
        <v>1</v>
      </c>
      <c r="J12" s="203">
        <v>1</v>
      </c>
      <c r="K12" s="197">
        <v>1</v>
      </c>
      <c r="L12" s="159"/>
      <c r="M12" s="159"/>
      <c r="N12" s="159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87"/>
    </row>
    <row r="13" spans="1:41" ht="16.5" thickTop="1" thickBot="1" x14ac:dyDescent="0.3">
      <c r="A13" s="81"/>
      <c r="B13" s="86"/>
      <c r="C13" s="159"/>
      <c r="D13" s="159"/>
      <c r="E13" s="159"/>
      <c r="F13" s="159"/>
      <c r="G13" s="159"/>
      <c r="H13" s="159"/>
      <c r="I13" s="202">
        <v>1</v>
      </c>
      <c r="J13" s="201">
        <v>12</v>
      </c>
      <c r="K13" s="159"/>
      <c r="L13" s="159"/>
      <c r="M13" s="159"/>
      <c r="N13" s="159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87"/>
    </row>
    <row r="14" spans="1:41" ht="16.5" thickTop="1" thickBot="1" x14ac:dyDescent="0.3">
      <c r="A14" s="81"/>
      <c r="B14" s="86"/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75">
        <v>1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87"/>
    </row>
    <row r="15" spans="1:41" ht="15.75" thickTop="1" x14ac:dyDescent="0.25">
      <c r="A15" s="81"/>
      <c r="B15" s="86"/>
      <c r="C15" s="159"/>
      <c r="D15" s="159"/>
      <c r="E15" s="159"/>
      <c r="F15" s="159"/>
      <c r="G15" s="159"/>
      <c r="H15" s="159"/>
      <c r="I15" s="199">
        <v>1</v>
      </c>
      <c r="J15" s="198">
        <v>1</v>
      </c>
      <c r="K15" s="159"/>
      <c r="L15" s="159"/>
      <c r="M15" s="173">
        <v>1</v>
      </c>
      <c r="N15" s="159"/>
      <c r="O15" s="82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87"/>
    </row>
    <row r="16" spans="1:41" ht="15.75" thickBot="1" x14ac:dyDescent="0.3">
      <c r="A16" s="81"/>
      <c r="B16" s="86"/>
      <c r="C16" s="159"/>
      <c r="D16" s="159"/>
      <c r="E16" s="159"/>
      <c r="F16" s="159"/>
      <c r="G16" s="159"/>
      <c r="H16" s="159"/>
      <c r="I16" s="176">
        <v>1</v>
      </c>
      <c r="J16" s="183">
        <v>1</v>
      </c>
      <c r="K16" s="159"/>
      <c r="L16" s="159"/>
      <c r="M16" s="172">
        <v>1</v>
      </c>
      <c r="N16" s="159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87"/>
    </row>
    <row r="17" spans="1:41" ht="16.5" thickTop="1" thickBot="1" x14ac:dyDescent="0.3">
      <c r="A17" s="81"/>
      <c r="B17" s="86"/>
      <c r="C17" s="159"/>
      <c r="D17" s="159"/>
      <c r="E17" s="159"/>
      <c r="F17" s="159"/>
      <c r="G17" s="159"/>
      <c r="H17" s="159"/>
      <c r="I17" s="159"/>
      <c r="J17" s="159"/>
      <c r="K17" s="159"/>
      <c r="L17" s="159"/>
      <c r="M17" s="174">
        <v>49</v>
      </c>
      <c r="N17" s="159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87"/>
    </row>
    <row r="18" spans="1:41" ht="15.75" thickTop="1" x14ac:dyDescent="0.25">
      <c r="A18" s="81"/>
      <c r="B18" s="86"/>
      <c r="C18" s="159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87"/>
    </row>
    <row r="19" spans="1:41" x14ac:dyDescent="0.25">
      <c r="A19" s="81"/>
      <c r="B19" s="86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87"/>
    </row>
    <row r="20" spans="1:41" x14ac:dyDescent="0.25">
      <c r="A20" s="81"/>
      <c r="B20" s="86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87"/>
    </row>
    <row r="21" spans="1:41" x14ac:dyDescent="0.25">
      <c r="A21" s="81"/>
      <c r="B21" s="88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90"/>
    </row>
    <row r="22" spans="1:41" x14ac:dyDescent="0.25">
      <c r="W22" s="95"/>
    </row>
    <row r="23" spans="1:41" x14ac:dyDescent="0.25">
      <c r="B23" s="1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3"/>
    </row>
    <row r="24" spans="1:41" x14ac:dyDescent="0.25">
      <c r="B24" s="4"/>
      <c r="C24" s="5"/>
      <c r="D24" s="5"/>
      <c r="E24" s="5"/>
      <c r="F24" s="5"/>
      <c r="G24" s="5"/>
      <c r="H24" s="5"/>
      <c r="I24" s="5"/>
      <c r="J24" s="5">
        <v>40</v>
      </c>
      <c r="K24" s="5"/>
      <c r="L24" s="5"/>
      <c r="M24" s="5"/>
      <c r="N24" s="5"/>
      <c r="O24" s="5"/>
      <c r="P24" s="5"/>
      <c r="Q24" s="5"/>
      <c r="R24" s="5"/>
      <c r="S24" s="5"/>
      <c r="T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6"/>
    </row>
    <row r="25" spans="1:41" x14ac:dyDescent="0.25">
      <c r="B25" s="4"/>
      <c r="C25" s="5"/>
      <c r="D25" s="5"/>
      <c r="E25" s="5"/>
      <c r="F25" s="5"/>
      <c r="G25" s="5">
        <v>18</v>
      </c>
      <c r="H25" s="5">
        <v>19</v>
      </c>
      <c r="I25" s="10"/>
      <c r="J25" s="10">
        <v>41</v>
      </c>
      <c r="K25" s="5"/>
      <c r="L25" s="5"/>
      <c r="M25" s="5"/>
      <c r="N25" s="5"/>
      <c r="O25" s="5"/>
      <c r="P25" s="5"/>
      <c r="Q25" s="5"/>
      <c r="R25" s="5"/>
      <c r="S25" s="5"/>
      <c r="T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6"/>
    </row>
    <row r="26" spans="1:41" x14ac:dyDescent="0.25">
      <c r="B26" s="4"/>
      <c r="C26" s="5"/>
      <c r="D26" s="5"/>
      <c r="E26" s="5">
        <v>1</v>
      </c>
      <c r="F26" s="5">
        <v>20</v>
      </c>
      <c r="G26" s="5">
        <v>21</v>
      </c>
      <c r="H26" s="5">
        <v>22</v>
      </c>
      <c r="I26" s="10">
        <v>42</v>
      </c>
      <c r="J26" s="10">
        <v>43</v>
      </c>
      <c r="K26" s="5"/>
      <c r="L26" s="5"/>
      <c r="M26" s="5"/>
      <c r="N26" s="5"/>
      <c r="O26" s="5"/>
      <c r="P26" s="5"/>
      <c r="Q26" s="5"/>
      <c r="R26" s="5"/>
      <c r="S26" s="5"/>
      <c r="T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6"/>
    </row>
    <row r="27" spans="1:41" x14ac:dyDescent="0.25">
      <c r="B27" s="4"/>
      <c r="C27" s="5"/>
      <c r="D27" s="5">
        <v>2</v>
      </c>
      <c r="E27" s="5">
        <v>3</v>
      </c>
      <c r="F27" s="10">
        <v>23</v>
      </c>
      <c r="G27" s="5">
        <v>24</v>
      </c>
      <c r="H27" s="10">
        <v>25</v>
      </c>
      <c r="I27" s="10">
        <v>44</v>
      </c>
      <c r="J27" s="10">
        <v>45</v>
      </c>
      <c r="K27" s="10">
        <v>46</v>
      </c>
      <c r="L27" s="5"/>
      <c r="M27" s="5"/>
      <c r="N27" s="5"/>
      <c r="O27" s="5"/>
      <c r="P27" s="5"/>
      <c r="Q27" s="5"/>
      <c r="R27" s="5"/>
      <c r="S27" s="5"/>
      <c r="T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6"/>
    </row>
    <row r="28" spans="1:41" x14ac:dyDescent="0.25">
      <c r="B28" s="4"/>
      <c r="C28" s="5">
        <v>4</v>
      </c>
      <c r="D28" s="5">
        <v>5</v>
      </c>
      <c r="E28" s="5">
        <v>6</v>
      </c>
      <c r="F28" s="5">
        <v>26</v>
      </c>
      <c r="G28" s="10">
        <v>27</v>
      </c>
      <c r="H28" s="5">
        <v>28</v>
      </c>
      <c r="I28" s="10">
        <v>47</v>
      </c>
      <c r="J28" s="10">
        <v>48</v>
      </c>
      <c r="K28" s="10">
        <v>49</v>
      </c>
      <c r="L28" s="5"/>
      <c r="M28" s="5"/>
      <c r="N28" s="5"/>
      <c r="O28" s="5"/>
      <c r="P28" s="5"/>
      <c r="Q28" s="5"/>
      <c r="R28" s="5"/>
      <c r="S28" s="5"/>
      <c r="T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6"/>
    </row>
    <row r="29" spans="1:41" x14ac:dyDescent="0.25">
      <c r="B29" s="4"/>
      <c r="C29" s="5">
        <v>7</v>
      </c>
      <c r="D29" s="5">
        <v>8</v>
      </c>
      <c r="E29" s="5">
        <v>9</v>
      </c>
      <c r="F29" s="10">
        <v>29</v>
      </c>
      <c r="G29" s="10">
        <v>30</v>
      </c>
      <c r="H29" s="5">
        <v>31</v>
      </c>
      <c r="I29" s="10">
        <v>50</v>
      </c>
      <c r="J29" s="10">
        <v>51</v>
      </c>
      <c r="K29" s="10">
        <v>52</v>
      </c>
      <c r="L29" s="5"/>
      <c r="M29" s="5"/>
      <c r="N29" s="10"/>
      <c r="O29" s="5"/>
      <c r="P29" s="5"/>
      <c r="Q29" s="5"/>
      <c r="R29" s="5"/>
      <c r="S29" s="5"/>
      <c r="T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6"/>
    </row>
    <row r="30" spans="1:41" x14ac:dyDescent="0.25">
      <c r="B30" s="4"/>
      <c r="C30" s="5">
        <v>10</v>
      </c>
      <c r="D30" s="5">
        <v>11</v>
      </c>
      <c r="E30" s="5">
        <v>12</v>
      </c>
      <c r="F30" s="10">
        <v>32</v>
      </c>
      <c r="G30" s="10">
        <v>33</v>
      </c>
      <c r="H30" s="10">
        <v>34</v>
      </c>
      <c r="I30" s="10">
        <v>53</v>
      </c>
      <c r="J30" s="10">
        <v>54</v>
      </c>
      <c r="K30" s="10">
        <v>55</v>
      </c>
      <c r="L30" s="5"/>
      <c r="M30" s="5"/>
      <c r="N30" s="5"/>
      <c r="O30" s="5"/>
      <c r="P30" s="5"/>
      <c r="Q30" s="5"/>
      <c r="R30" s="5"/>
      <c r="S30" s="5"/>
      <c r="T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6"/>
    </row>
    <row r="31" spans="1:41" x14ac:dyDescent="0.25">
      <c r="B31" s="4"/>
      <c r="C31" s="10">
        <v>13</v>
      </c>
      <c r="D31" s="5">
        <v>14</v>
      </c>
      <c r="E31" s="5">
        <v>15</v>
      </c>
      <c r="F31" s="10">
        <v>35</v>
      </c>
      <c r="G31" s="10">
        <v>36</v>
      </c>
      <c r="H31" s="10">
        <v>37</v>
      </c>
      <c r="I31" s="10">
        <v>56</v>
      </c>
      <c r="J31" s="10">
        <v>57</v>
      </c>
      <c r="K31" s="10">
        <v>58</v>
      </c>
      <c r="L31" s="5"/>
      <c r="M31" s="5"/>
      <c r="N31" s="5"/>
      <c r="O31" s="5"/>
      <c r="P31" s="5"/>
      <c r="Q31" s="5"/>
      <c r="R31" s="5"/>
      <c r="S31" s="5"/>
      <c r="T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6"/>
    </row>
    <row r="32" spans="1:41" x14ac:dyDescent="0.25">
      <c r="B32" s="4"/>
      <c r="C32" s="10">
        <v>16</v>
      </c>
      <c r="D32" s="5">
        <v>17</v>
      </c>
      <c r="E32" s="5"/>
      <c r="F32" s="5"/>
      <c r="G32" s="10">
        <v>38</v>
      </c>
      <c r="H32" s="10">
        <v>39</v>
      </c>
      <c r="I32" s="10">
        <v>61</v>
      </c>
      <c r="J32" s="10">
        <v>59</v>
      </c>
      <c r="K32" s="10">
        <v>60</v>
      </c>
      <c r="L32" s="5"/>
      <c r="M32" s="5"/>
      <c r="N32" s="5"/>
      <c r="O32" s="5"/>
      <c r="P32" s="5"/>
      <c r="Q32" s="5"/>
      <c r="R32" s="5"/>
      <c r="S32" s="5"/>
      <c r="T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6"/>
    </row>
    <row r="33" spans="2:41" x14ac:dyDescent="0.25">
      <c r="B33" s="4"/>
      <c r="C33" s="10"/>
      <c r="D33" s="5"/>
      <c r="E33" s="5"/>
      <c r="F33" s="5"/>
      <c r="G33" s="5"/>
      <c r="H33" s="10"/>
      <c r="I33" s="10">
        <v>62</v>
      </c>
      <c r="J33" s="10">
        <v>63</v>
      </c>
      <c r="K33" s="10">
        <v>64</v>
      </c>
      <c r="L33" s="5"/>
      <c r="M33" s="5"/>
      <c r="N33" s="5"/>
      <c r="O33" s="5"/>
      <c r="P33" s="5"/>
      <c r="Q33" s="5"/>
      <c r="R33" s="5"/>
      <c r="S33" s="5"/>
      <c r="T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6"/>
    </row>
    <row r="34" spans="2:41" x14ac:dyDescent="0.25">
      <c r="B34" s="4"/>
      <c r="C34" s="5"/>
      <c r="D34" s="5"/>
      <c r="E34" s="5"/>
      <c r="F34" s="5"/>
      <c r="G34" s="5"/>
      <c r="H34" s="10"/>
      <c r="I34" s="10">
        <v>65</v>
      </c>
      <c r="J34" s="10">
        <v>66</v>
      </c>
      <c r="K34" s="5"/>
      <c r="L34" s="5"/>
      <c r="M34" s="5"/>
      <c r="N34" s="5"/>
      <c r="O34" s="5"/>
      <c r="P34" s="5"/>
      <c r="Q34" s="5"/>
      <c r="R34" s="5"/>
      <c r="S34" s="5"/>
      <c r="T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6"/>
    </row>
    <row r="35" spans="2:41" x14ac:dyDescent="0.25">
      <c r="B35" s="4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>
        <v>71</v>
      </c>
      <c r="O35" s="5"/>
      <c r="P35" s="5"/>
      <c r="Q35" s="5"/>
      <c r="R35" s="5"/>
      <c r="S35" s="5"/>
      <c r="T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6"/>
    </row>
    <row r="36" spans="2:41" x14ac:dyDescent="0.25">
      <c r="B36" s="4"/>
      <c r="C36" s="5"/>
      <c r="D36" s="5"/>
      <c r="E36" s="5"/>
      <c r="F36" s="5"/>
      <c r="G36" s="5"/>
      <c r="H36" s="5"/>
      <c r="I36" s="5">
        <v>67</v>
      </c>
      <c r="J36" s="5">
        <v>68</v>
      </c>
      <c r="K36" s="5"/>
      <c r="L36" s="5"/>
      <c r="M36" s="5">
        <v>72</v>
      </c>
      <c r="N36" s="5"/>
      <c r="O36" s="5"/>
      <c r="P36" s="5"/>
      <c r="Q36" s="5"/>
      <c r="R36" s="5"/>
      <c r="S36" s="5"/>
      <c r="T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6"/>
    </row>
    <row r="37" spans="2:41" x14ac:dyDescent="0.25">
      <c r="B37" s="4"/>
      <c r="C37" s="5"/>
      <c r="D37" s="5"/>
      <c r="E37" s="5"/>
      <c r="F37" s="5"/>
      <c r="G37" s="5"/>
      <c r="H37" s="5"/>
      <c r="I37" s="10">
        <v>69</v>
      </c>
      <c r="J37" s="10">
        <v>70</v>
      </c>
      <c r="K37" s="5"/>
      <c r="L37" s="5"/>
      <c r="M37" s="5">
        <v>73</v>
      </c>
      <c r="N37" s="5"/>
      <c r="O37" s="5"/>
      <c r="P37" s="5"/>
      <c r="Q37" s="5"/>
      <c r="R37" s="5"/>
      <c r="S37" s="5"/>
      <c r="T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6"/>
    </row>
    <row r="38" spans="2:41" x14ac:dyDescent="0.25">
      <c r="B38" s="4"/>
      <c r="C38" s="5"/>
      <c r="D38" s="5"/>
      <c r="E38" s="5"/>
      <c r="F38" s="5"/>
      <c r="G38" s="5"/>
      <c r="H38" s="5"/>
      <c r="I38" s="5"/>
      <c r="J38" s="5"/>
      <c r="K38" s="5"/>
      <c r="L38" s="5"/>
      <c r="M38" s="5">
        <v>74</v>
      </c>
      <c r="N38" s="5"/>
      <c r="O38" s="5"/>
      <c r="P38" s="5"/>
      <c r="Q38" s="5"/>
      <c r="R38" s="5"/>
      <c r="S38" s="5"/>
      <c r="T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6"/>
    </row>
    <row r="39" spans="2:41" x14ac:dyDescent="0.25">
      <c r="B39" s="4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6"/>
    </row>
    <row r="40" spans="2:41" x14ac:dyDescent="0.25">
      <c r="B40" s="4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6"/>
    </row>
    <row r="41" spans="2:41" x14ac:dyDescent="0.25">
      <c r="B41" s="4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6"/>
    </row>
    <row r="42" spans="2:41" x14ac:dyDescent="0.25">
      <c r="B42" s="7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9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in">
                <anchor moveWithCells="1" sizeWithCells="1">
                  <from>
                    <xdr:col>13</xdr:col>
                    <xdr:colOff>28575</xdr:colOff>
                    <xdr:row>19</xdr:row>
                    <xdr:rowOff>47625</xdr:rowOff>
                  </from>
                  <to>
                    <xdr:col>15</xdr:col>
                    <xdr:colOff>219075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board2">
                <anchor moveWithCells="1" sizeWithCells="1">
                  <from>
                    <xdr:col>16</xdr:col>
                    <xdr:colOff>238125</xdr:colOff>
                    <xdr:row>19</xdr:row>
                    <xdr:rowOff>57150</xdr:rowOff>
                  </from>
                  <to>
                    <xdr:col>21</xdr:col>
                    <xdr:colOff>0</xdr:colOff>
                    <xdr:row>20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gotohelp">
                <anchor moveWithCells="1" sizeWithCells="1">
                  <from>
                    <xdr:col>7</xdr:col>
                    <xdr:colOff>114300</xdr:colOff>
                    <xdr:row>19</xdr:row>
                    <xdr:rowOff>38100</xdr:rowOff>
                  </from>
                  <to>
                    <xdr:col>12</xdr:col>
                    <xdr:colOff>133350</xdr:colOff>
                    <xdr:row>20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58"/>
  <sheetViews>
    <sheetView workbookViewId="0">
      <selection activeCell="D11" sqref="D11"/>
    </sheetView>
  </sheetViews>
  <sheetFormatPr defaultRowHeight="15" x14ac:dyDescent="0.25"/>
  <sheetData>
    <row r="1" spans="1:18" x14ac:dyDescent="0.25">
      <c r="A1" s="169"/>
      <c r="B1" s="5">
        <v>6</v>
      </c>
      <c r="C1" s="5"/>
      <c r="D1" s="6"/>
      <c r="F1" s="4" t="s">
        <v>9</v>
      </c>
      <c r="G1" s="5">
        <v>8</v>
      </c>
      <c r="H1" s="5"/>
      <c r="I1" s="5"/>
      <c r="J1" s="5"/>
      <c r="K1" s="6"/>
      <c r="Q1" t="s">
        <v>141</v>
      </c>
    </row>
    <row r="2" spans="1:18" ht="15.75" thickBot="1" x14ac:dyDescent="0.3">
      <c r="A2" s="5" t="s">
        <v>0</v>
      </c>
      <c r="B2" s="5" t="s">
        <v>1</v>
      </c>
      <c r="C2" s="5" t="s">
        <v>2</v>
      </c>
      <c r="D2" s="6" t="s">
        <v>132</v>
      </c>
      <c r="F2" s="4" t="s">
        <v>0</v>
      </c>
      <c r="G2" s="5" t="s">
        <v>6</v>
      </c>
      <c r="H2" s="5" t="s">
        <v>7</v>
      </c>
      <c r="I2" s="5" t="s">
        <v>8</v>
      </c>
      <c r="J2" s="5" t="s">
        <v>2</v>
      </c>
      <c r="K2" s="6"/>
      <c r="O2" t="s">
        <v>134</v>
      </c>
      <c r="Q2" t="s">
        <v>143</v>
      </c>
      <c r="R2" t="s">
        <v>142</v>
      </c>
    </row>
    <row r="3" spans="1:18" ht="16.5" thickTop="1" thickBot="1" x14ac:dyDescent="0.3">
      <c r="A3" s="5" t="s">
        <v>3</v>
      </c>
      <c r="B3" s="5">
        <v>1</v>
      </c>
      <c r="C3" s="160"/>
      <c r="D3" s="6">
        <v>1</v>
      </c>
      <c r="F3" s="4" t="s">
        <v>35</v>
      </c>
      <c r="G3" s="5">
        <v>5</v>
      </c>
      <c r="H3" s="5">
        <v>1</v>
      </c>
      <c r="I3" s="5">
        <v>17</v>
      </c>
      <c r="J3" s="99">
        <v>46</v>
      </c>
      <c r="K3" s="6"/>
      <c r="N3">
        <v>1</v>
      </c>
      <c r="O3" s="100"/>
      <c r="Q3">
        <v>2</v>
      </c>
      <c r="R3">
        <v>40</v>
      </c>
    </row>
    <row r="4" spans="1:18" ht="16.5" thickTop="1" thickBot="1" x14ac:dyDescent="0.3">
      <c r="A4" s="5" t="s">
        <v>4</v>
      </c>
      <c r="B4" s="5">
        <v>1</v>
      </c>
      <c r="C4" s="161"/>
      <c r="D4" s="6">
        <v>1</v>
      </c>
      <c r="F4" s="4" t="s">
        <v>34</v>
      </c>
      <c r="G4" s="5">
        <v>3</v>
      </c>
      <c r="H4" s="5">
        <v>18</v>
      </c>
      <c r="I4" s="5">
        <v>28</v>
      </c>
      <c r="J4" s="98">
        <v>44</v>
      </c>
      <c r="K4" s="6"/>
      <c r="N4">
        <v>2</v>
      </c>
      <c r="O4" s="101"/>
      <c r="Q4">
        <v>3</v>
      </c>
      <c r="R4">
        <f t="shared" ref="R4:R11" si="0">FLOOR(100/Q4,1)</f>
        <v>33</v>
      </c>
    </row>
    <row r="5" spans="1:18" ht="16.5" thickTop="1" thickBot="1" x14ac:dyDescent="0.3">
      <c r="A5" s="5" t="s">
        <v>5</v>
      </c>
      <c r="B5" s="5">
        <v>1</v>
      </c>
      <c r="C5" s="162"/>
      <c r="D5" s="6">
        <v>1</v>
      </c>
      <c r="F5" s="4" t="s">
        <v>33</v>
      </c>
      <c r="G5" s="5">
        <v>3</v>
      </c>
      <c r="H5" s="5">
        <v>29</v>
      </c>
      <c r="I5" s="5">
        <v>39</v>
      </c>
      <c r="J5" s="155">
        <v>7</v>
      </c>
      <c r="K5" s="6"/>
      <c r="N5">
        <v>3</v>
      </c>
      <c r="O5" s="102"/>
      <c r="Q5">
        <v>4</v>
      </c>
      <c r="R5">
        <f t="shared" si="0"/>
        <v>25</v>
      </c>
    </row>
    <row r="6" spans="1:18" ht="16.5" thickTop="1" thickBot="1" x14ac:dyDescent="0.3">
      <c r="A6" s="5" t="s">
        <v>29</v>
      </c>
      <c r="B6" s="5">
        <v>1</v>
      </c>
      <c r="C6" s="163"/>
      <c r="D6" s="6">
        <v>1</v>
      </c>
      <c r="F6" s="4" t="s">
        <v>32</v>
      </c>
      <c r="G6" s="5">
        <v>3</v>
      </c>
      <c r="H6" s="5">
        <v>40</v>
      </c>
      <c r="I6" s="5">
        <v>49</v>
      </c>
      <c r="J6" s="96">
        <v>4</v>
      </c>
      <c r="K6" s="6"/>
      <c r="N6">
        <v>4</v>
      </c>
      <c r="O6" s="103"/>
      <c r="Q6">
        <v>5</v>
      </c>
      <c r="R6">
        <f>FLOOR(100/Q6,1)</f>
        <v>20</v>
      </c>
    </row>
    <row r="7" spans="1:18" ht="16.5" thickTop="1" thickBot="1" x14ac:dyDescent="0.3">
      <c r="A7" s="5" t="s">
        <v>30</v>
      </c>
      <c r="B7" s="5">
        <v>1</v>
      </c>
      <c r="C7" s="164">
        <v>1</v>
      </c>
      <c r="D7" s="6">
        <v>1</v>
      </c>
      <c r="F7" s="4" t="s">
        <v>31</v>
      </c>
      <c r="G7" s="5">
        <v>7</v>
      </c>
      <c r="H7" s="5">
        <v>50</v>
      </c>
      <c r="I7" s="5">
        <v>60</v>
      </c>
      <c r="J7" s="97">
        <v>5</v>
      </c>
      <c r="K7" s="6"/>
      <c r="N7">
        <v>5</v>
      </c>
      <c r="O7" s="92"/>
      <c r="Q7">
        <v>6</v>
      </c>
      <c r="R7">
        <f t="shared" si="0"/>
        <v>16</v>
      </c>
    </row>
    <row r="8" spans="1:18" ht="16.5" thickTop="1" thickBot="1" x14ac:dyDescent="0.3">
      <c r="A8" s="5"/>
      <c r="B8" s="5">
        <v>1</v>
      </c>
      <c r="C8" s="165">
        <v>9</v>
      </c>
      <c r="D8" s="6">
        <v>1</v>
      </c>
      <c r="F8" s="4" t="s">
        <v>36</v>
      </c>
      <c r="G8" s="5">
        <v>4</v>
      </c>
      <c r="H8" s="5">
        <v>61</v>
      </c>
      <c r="I8" s="5">
        <v>66</v>
      </c>
      <c r="J8" s="156">
        <v>17</v>
      </c>
      <c r="K8" s="6"/>
      <c r="N8">
        <v>6</v>
      </c>
      <c r="O8" s="104"/>
      <c r="Q8">
        <v>7</v>
      </c>
      <c r="R8">
        <f t="shared" si="0"/>
        <v>14</v>
      </c>
    </row>
    <row r="9" spans="1:18" ht="16.5" thickTop="1" thickBot="1" x14ac:dyDescent="0.3">
      <c r="A9" s="5"/>
      <c r="B9" s="5">
        <v>1</v>
      </c>
      <c r="C9" s="166">
        <v>6</v>
      </c>
      <c r="D9" s="6">
        <v>1</v>
      </c>
      <c r="F9" s="4" t="s">
        <v>37</v>
      </c>
      <c r="G9" s="5">
        <v>2</v>
      </c>
      <c r="H9" s="5">
        <v>67</v>
      </c>
      <c r="I9" s="5">
        <v>70</v>
      </c>
      <c r="J9" s="157">
        <v>28</v>
      </c>
      <c r="K9" s="6"/>
      <c r="N9">
        <v>7</v>
      </c>
      <c r="O9" s="105"/>
      <c r="Q9">
        <v>8</v>
      </c>
      <c r="R9">
        <f t="shared" si="0"/>
        <v>12</v>
      </c>
    </row>
    <row r="10" spans="1:18" ht="16.5" thickTop="1" thickBot="1" x14ac:dyDescent="0.3">
      <c r="A10" s="5"/>
      <c r="B10" s="5">
        <v>1</v>
      </c>
      <c r="C10" s="167">
        <v>1</v>
      </c>
      <c r="D10" s="6">
        <v>1</v>
      </c>
      <c r="F10" s="4" t="s">
        <v>133</v>
      </c>
      <c r="G10" s="5">
        <v>2</v>
      </c>
      <c r="H10" s="5">
        <v>71</v>
      </c>
      <c r="I10" s="5">
        <v>74</v>
      </c>
      <c r="J10" s="158">
        <v>22</v>
      </c>
      <c r="K10" s="6"/>
      <c r="N10">
        <v>8</v>
      </c>
      <c r="O10" s="106"/>
      <c r="Q10">
        <v>9</v>
      </c>
      <c r="R10">
        <f t="shared" si="0"/>
        <v>11</v>
      </c>
    </row>
    <row r="11" spans="1:18" ht="15.75" thickTop="1" x14ac:dyDescent="0.25">
      <c r="A11" s="5"/>
      <c r="B11" s="5">
        <v>1</v>
      </c>
      <c r="C11" s="168"/>
      <c r="D11" s="6">
        <v>1</v>
      </c>
      <c r="N11">
        <v>9</v>
      </c>
      <c r="O11" s="107"/>
      <c r="Q11">
        <v>10</v>
      </c>
      <c r="R11">
        <f t="shared" si="0"/>
        <v>10</v>
      </c>
    </row>
    <row r="12" spans="1:18" x14ac:dyDescent="0.25">
      <c r="A12" s="5"/>
      <c r="B12" s="5">
        <v>1</v>
      </c>
      <c r="C12" s="170"/>
      <c r="D12" s="6">
        <v>1</v>
      </c>
      <c r="N12">
        <v>10</v>
      </c>
      <c r="O12" s="108"/>
      <c r="Q12" t="s">
        <v>144</v>
      </c>
    </row>
    <row r="13" spans="1:18" x14ac:dyDescent="0.25">
      <c r="N13">
        <v>11</v>
      </c>
      <c r="O13" s="109"/>
    </row>
    <row r="14" spans="1:18" x14ac:dyDescent="0.25">
      <c r="N14">
        <v>12</v>
      </c>
      <c r="O14" s="110"/>
    </row>
    <row r="15" spans="1:18" x14ac:dyDescent="0.25">
      <c r="N15">
        <v>13</v>
      </c>
      <c r="O15" s="111"/>
    </row>
    <row r="16" spans="1:18" x14ac:dyDescent="0.25">
      <c r="N16">
        <v>14</v>
      </c>
      <c r="O16" s="112"/>
    </row>
    <row r="17" spans="14:15" x14ac:dyDescent="0.25">
      <c r="N17">
        <v>15</v>
      </c>
      <c r="O17" s="113"/>
    </row>
    <row r="18" spans="14:15" x14ac:dyDescent="0.25">
      <c r="N18">
        <v>16</v>
      </c>
      <c r="O18" s="114"/>
    </row>
    <row r="19" spans="14:15" x14ac:dyDescent="0.25">
      <c r="N19">
        <v>17</v>
      </c>
      <c r="O19" s="115"/>
    </row>
    <row r="20" spans="14:15" x14ac:dyDescent="0.25">
      <c r="N20">
        <v>18</v>
      </c>
      <c r="O20" s="116"/>
    </row>
    <row r="21" spans="14:15" x14ac:dyDescent="0.25">
      <c r="N21">
        <v>19</v>
      </c>
      <c r="O21" s="117"/>
    </row>
    <row r="22" spans="14:15" x14ac:dyDescent="0.25">
      <c r="N22">
        <v>20</v>
      </c>
      <c r="O22" s="118"/>
    </row>
    <row r="23" spans="14:15" x14ac:dyDescent="0.25">
      <c r="N23">
        <v>21</v>
      </c>
      <c r="O23" s="119"/>
    </row>
    <row r="24" spans="14:15" x14ac:dyDescent="0.25">
      <c r="N24">
        <v>22</v>
      </c>
      <c r="O24" s="120"/>
    </row>
    <row r="25" spans="14:15" x14ac:dyDescent="0.25">
      <c r="N25">
        <v>23</v>
      </c>
      <c r="O25" s="121"/>
    </row>
    <row r="26" spans="14:15" x14ac:dyDescent="0.25">
      <c r="N26">
        <v>24</v>
      </c>
      <c r="O26" s="122"/>
    </row>
    <row r="27" spans="14:15" x14ac:dyDescent="0.25">
      <c r="N27">
        <v>25</v>
      </c>
      <c r="O27" s="123"/>
    </row>
    <row r="28" spans="14:15" x14ac:dyDescent="0.25">
      <c r="N28">
        <v>26</v>
      </c>
      <c r="O28" s="124"/>
    </row>
    <row r="29" spans="14:15" x14ac:dyDescent="0.25">
      <c r="N29">
        <v>27</v>
      </c>
      <c r="O29" s="125"/>
    </row>
    <row r="30" spans="14:15" x14ac:dyDescent="0.25">
      <c r="N30">
        <v>28</v>
      </c>
      <c r="O30" s="126"/>
    </row>
    <row r="31" spans="14:15" x14ac:dyDescent="0.25">
      <c r="N31">
        <v>29</v>
      </c>
      <c r="O31" s="127"/>
    </row>
    <row r="32" spans="14:15" x14ac:dyDescent="0.25">
      <c r="N32">
        <v>30</v>
      </c>
      <c r="O32" s="128"/>
    </row>
    <row r="33" spans="14:15" x14ac:dyDescent="0.25">
      <c r="N33">
        <v>31</v>
      </c>
      <c r="O33" s="129"/>
    </row>
    <row r="34" spans="14:15" x14ac:dyDescent="0.25">
      <c r="N34">
        <v>32</v>
      </c>
      <c r="O34" s="130"/>
    </row>
    <row r="35" spans="14:15" x14ac:dyDescent="0.25">
      <c r="N35">
        <v>33</v>
      </c>
      <c r="O35" s="131"/>
    </row>
    <row r="36" spans="14:15" x14ac:dyDescent="0.25">
      <c r="N36">
        <v>34</v>
      </c>
      <c r="O36" s="132"/>
    </row>
    <row r="37" spans="14:15" x14ac:dyDescent="0.25">
      <c r="N37">
        <v>35</v>
      </c>
      <c r="O37" s="133"/>
    </row>
    <row r="38" spans="14:15" x14ac:dyDescent="0.25">
      <c r="N38">
        <v>36</v>
      </c>
      <c r="O38" s="134"/>
    </row>
    <row r="39" spans="14:15" x14ac:dyDescent="0.25">
      <c r="N39">
        <v>37</v>
      </c>
      <c r="O39" s="135"/>
    </row>
    <row r="40" spans="14:15" x14ac:dyDescent="0.25">
      <c r="N40">
        <v>38</v>
      </c>
      <c r="O40" s="136"/>
    </row>
    <row r="41" spans="14:15" x14ac:dyDescent="0.25">
      <c r="N41">
        <v>39</v>
      </c>
      <c r="O41" s="137"/>
    </row>
    <row r="42" spans="14:15" x14ac:dyDescent="0.25">
      <c r="N42">
        <v>40</v>
      </c>
      <c r="O42" s="138"/>
    </row>
    <row r="43" spans="14:15" x14ac:dyDescent="0.25">
      <c r="N43">
        <v>41</v>
      </c>
      <c r="O43" s="139"/>
    </row>
    <row r="44" spans="14:15" x14ac:dyDescent="0.25">
      <c r="N44">
        <v>42</v>
      </c>
      <c r="O44" s="140"/>
    </row>
    <row r="45" spans="14:15" x14ac:dyDescent="0.25">
      <c r="N45">
        <v>43</v>
      </c>
      <c r="O45" s="141"/>
    </row>
    <row r="46" spans="14:15" x14ac:dyDescent="0.25">
      <c r="N46">
        <v>44</v>
      </c>
      <c r="O46" s="142"/>
    </row>
    <row r="47" spans="14:15" x14ac:dyDescent="0.25">
      <c r="N47">
        <v>45</v>
      </c>
      <c r="O47" s="143"/>
    </row>
    <row r="48" spans="14:15" x14ac:dyDescent="0.25">
      <c r="N48">
        <v>46</v>
      </c>
      <c r="O48" s="144"/>
    </row>
    <row r="49" spans="14:15" x14ac:dyDescent="0.25">
      <c r="N49">
        <v>47</v>
      </c>
      <c r="O49" s="145"/>
    </row>
    <row r="50" spans="14:15" x14ac:dyDescent="0.25">
      <c r="N50">
        <v>48</v>
      </c>
      <c r="O50" s="146"/>
    </row>
    <row r="51" spans="14:15" x14ac:dyDescent="0.25">
      <c r="N51">
        <v>49</v>
      </c>
      <c r="O51" s="147"/>
    </row>
    <row r="52" spans="14:15" x14ac:dyDescent="0.25">
      <c r="N52">
        <v>50</v>
      </c>
      <c r="O52" s="148"/>
    </row>
    <row r="53" spans="14:15" x14ac:dyDescent="0.25">
      <c r="N53">
        <v>51</v>
      </c>
      <c r="O53" s="149"/>
    </row>
    <row r="54" spans="14:15" x14ac:dyDescent="0.25">
      <c r="N54">
        <v>52</v>
      </c>
      <c r="O54" s="150"/>
    </row>
    <row r="55" spans="14:15" x14ac:dyDescent="0.25">
      <c r="N55">
        <v>53</v>
      </c>
      <c r="O55" s="151"/>
    </row>
    <row r="56" spans="14:15" x14ac:dyDescent="0.25">
      <c r="N56">
        <v>54</v>
      </c>
      <c r="O56" s="152"/>
    </row>
    <row r="57" spans="14:15" x14ac:dyDescent="0.25">
      <c r="N57">
        <v>55</v>
      </c>
      <c r="O57" s="153"/>
    </row>
    <row r="58" spans="14:15" x14ac:dyDescent="0.25">
      <c r="N58">
        <v>56</v>
      </c>
      <c r="O58" s="154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75"/>
  <sheetViews>
    <sheetView topLeftCell="AJ29" workbookViewId="0">
      <selection activeCell="AN40" sqref="AN40"/>
    </sheetView>
  </sheetViews>
  <sheetFormatPr defaultRowHeight="15" x14ac:dyDescent="0.25"/>
  <cols>
    <col min="1" max="20" width="3.42578125" customWidth="1"/>
    <col min="21" max="21" width="9.140625" customWidth="1"/>
  </cols>
  <sheetData>
    <row r="1" spans="1:30" ht="1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0" ht="16.5" thickTop="1" thickBot="1" x14ac:dyDescent="0.3">
      <c r="A2" s="5"/>
      <c r="B2" s="11">
        <v>1</v>
      </c>
      <c r="C2" s="12">
        <v>1</v>
      </c>
      <c r="D2" s="12">
        <v>1</v>
      </c>
      <c r="E2" s="13">
        <v>1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</row>
    <row r="3" spans="1:30" ht="16.5" thickTop="1" thickBot="1" x14ac:dyDescent="0.3">
      <c r="A3" s="5"/>
      <c r="B3" s="14">
        <v>1</v>
      </c>
      <c r="C3" s="5">
        <v>1</v>
      </c>
      <c r="D3" s="15">
        <v>1</v>
      </c>
      <c r="E3" s="5"/>
      <c r="F3" s="16">
        <v>33</v>
      </c>
      <c r="G3" s="17">
        <v>33</v>
      </c>
      <c r="H3" s="5"/>
      <c r="I3" s="5"/>
      <c r="J3" s="5"/>
      <c r="K3" s="5"/>
      <c r="L3" s="5"/>
      <c r="M3" s="5"/>
      <c r="N3" s="5"/>
      <c r="O3" s="5"/>
      <c r="P3" s="5"/>
      <c r="Q3" s="81"/>
      <c r="R3" s="10"/>
      <c r="S3" s="81"/>
      <c r="U3" s="5"/>
    </row>
    <row r="4" spans="1:30" ht="16.5" thickTop="1" thickBot="1" x14ac:dyDescent="0.3">
      <c r="A4" s="5"/>
      <c r="B4" s="5"/>
      <c r="C4" s="14">
        <v>1</v>
      </c>
      <c r="D4" s="15">
        <v>1</v>
      </c>
      <c r="E4" s="5"/>
      <c r="F4" s="18">
        <v>33</v>
      </c>
      <c r="G4" s="10">
        <v>33</v>
      </c>
      <c r="H4" s="19">
        <v>33</v>
      </c>
      <c r="I4" s="20">
        <v>9</v>
      </c>
      <c r="J4" s="21">
        <v>9</v>
      </c>
      <c r="K4" s="21">
        <v>9</v>
      </c>
      <c r="L4" s="22">
        <v>9</v>
      </c>
      <c r="M4" s="5"/>
      <c r="N4" s="5"/>
      <c r="O4" s="5"/>
      <c r="P4" s="5"/>
      <c r="Q4" s="10"/>
      <c r="R4" s="10"/>
      <c r="S4" s="81"/>
    </row>
    <row r="5" spans="1:30" ht="16.5" thickTop="1" thickBot="1" x14ac:dyDescent="0.3">
      <c r="A5" s="5"/>
      <c r="B5" s="5"/>
      <c r="C5" s="10"/>
      <c r="D5" s="25">
        <v>1</v>
      </c>
      <c r="E5" s="5"/>
      <c r="F5" s="5"/>
      <c r="G5" s="27">
        <v>33</v>
      </c>
      <c r="H5" s="10"/>
      <c r="I5" s="23">
        <v>9</v>
      </c>
      <c r="J5" s="5">
        <v>9</v>
      </c>
      <c r="K5" s="24">
        <v>9</v>
      </c>
      <c r="L5" s="5"/>
      <c r="M5" s="5"/>
      <c r="N5" s="5"/>
      <c r="O5" s="5"/>
      <c r="P5" s="5"/>
      <c r="Q5" s="10"/>
      <c r="R5" s="10"/>
      <c r="S5" s="81"/>
    </row>
    <row r="6" spans="1:30" ht="16.5" thickTop="1" thickBot="1" x14ac:dyDescent="0.3">
      <c r="A6" s="5"/>
      <c r="B6" s="5"/>
      <c r="C6" s="5"/>
      <c r="D6" s="26">
        <v>3</v>
      </c>
      <c r="E6" s="10"/>
      <c r="F6" s="5"/>
      <c r="G6" s="28">
        <v>5</v>
      </c>
      <c r="H6" s="29">
        <v>9</v>
      </c>
      <c r="I6" s="30">
        <v>9</v>
      </c>
      <c r="J6" s="31">
        <v>9</v>
      </c>
      <c r="K6" s="5"/>
      <c r="L6" s="5"/>
      <c r="M6" s="5"/>
      <c r="N6" s="5"/>
      <c r="O6" s="5"/>
      <c r="P6" s="5"/>
      <c r="Q6" s="10"/>
      <c r="R6" s="10"/>
      <c r="S6" s="81"/>
      <c r="V6" s="91"/>
    </row>
    <row r="7" spans="1:30" ht="20.25" thickTop="1" thickBot="1" x14ac:dyDescent="0.45">
      <c r="A7" s="5"/>
      <c r="B7" s="5"/>
      <c r="C7" s="5"/>
      <c r="D7" s="32">
        <v>3</v>
      </c>
      <c r="E7" s="33">
        <v>3</v>
      </c>
      <c r="F7" s="34">
        <v>5</v>
      </c>
      <c r="G7" s="35">
        <v>5</v>
      </c>
      <c r="H7" s="10"/>
      <c r="I7" s="5"/>
      <c r="J7" s="5"/>
      <c r="K7" s="36">
        <v>7</v>
      </c>
      <c r="L7" s="37">
        <v>7</v>
      </c>
      <c r="M7" s="5"/>
      <c r="N7" s="5"/>
      <c r="O7" s="5"/>
      <c r="P7" s="72"/>
      <c r="Q7" s="5"/>
      <c r="R7" s="5"/>
      <c r="V7" s="81"/>
    </row>
    <row r="8" spans="1:30" ht="17.25" thickTop="1" thickBot="1" x14ac:dyDescent="0.35">
      <c r="A8" s="5"/>
      <c r="B8" s="5"/>
      <c r="C8" s="5"/>
      <c r="D8" s="38">
        <v>3</v>
      </c>
      <c r="E8" s="5"/>
      <c r="F8" s="10"/>
      <c r="G8" s="39">
        <v>5</v>
      </c>
      <c r="H8" s="40">
        <v>5</v>
      </c>
      <c r="I8" s="5"/>
      <c r="J8" s="5"/>
      <c r="K8" s="5"/>
      <c r="L8" s="41">
        <v>7</v>
      </c>
      <c r="M8" s="42">
        <v>7</v>
      </c>
      <c r="N8" s="5"/>
      <c r="O8" s="5"/>
      <c r="P8" s="73"/>
      <c r="Q8" s="5"/>
      <c r="R8" s="5"/>
      <c r="S8" t="s">
        <v>42</v>
      </c>
      <c r="AD8" t="s">
        <v>57</v>
      </c>
    </row>
    <row r="9" spans="1:30" ht="17.25" customHeight="1" thickTop="1" thickBot="1" x14ac:dyDescent="0.3">
      <c r="A9" s="5"/>
      <c r="B9" s="5"/>
      <c r="C9" s="5"/>
      <c r="D9" s="5"/>
      <c r="E9" s="5"/>
      <c r="F9" s="5"/>
      <c r="G9" s="43">
        <v>5</v>
      </c>
      <c r="H9" s="5"/>
      <c r="I9" s="5"/>
      <c r="J9" s="5"/>
      <c r="K9" s="5"/>
      <c r="L9" s="5"/>
      <c r="M9" s="5"/>
      <c r="N9" s="5"/>
      <c r="O9" s="5"/>
      <c r="P9" s="44"/>
      <c r="Q9" s="5"/>
      <c r="R9" s="5"/>
      <c r="S9" t="s">
        <v>40</v>
      </c>
      <c r="T9" t="s">
        <v>41</v>
      </c>
      <c r="X9" t="s">
        <v>50</v>
      </c>
      <c r="Y9" t="s">
        <v>51</v>
      </c>
      <c r="Z9" t="s">
        <v>52</v>
      </c>
      <c r="AA9" t="s">
        <v>53</v>
      </c>
      <c r="AB9" t="s">
        <v>54</v>
      </c>
      <c r="AC9" t="s">
        <v>55</v>
      </c>
      <c r="AD9" t="s">
        <v>56</v>
      </c>
    </row>
    <row r="10" spans="1:30" ht="16.5" thickTop="1" thickBot="1" x14ac:dyDescent="0.3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6">
        <v>0</v>
      </c>
      <c r="U10">
        <v>4</v>
      </c>
      <c r="W10" t="s">
        <v>35</v>
      </c>
      <c r="X10">
        <v>17</v>
      </c>
      <c r="Y10">
        <f>LOG(X10)</f>
        <v>1.2304489213782739</v>
      </c>
      <c r="Z10">
        <v>5</v>
      </c>
      <c r="AA10">
        <f>Z10/Y10</f>
        <v>4.0635575464597951</v>
      </c>
      <c r="AB10" s="5">
        <v>6</v>
      </c>
      <c r="AC10">
        <f>X10/AB10</f>
        <v>2.8333333333333335</v>
      </c>
      <c r="AD10">
        <f>AA10+AC10</f>
        <v>6.8968908797931281</v>
      </c>
    </row>
    <row r="11" spans="1:30" ht="17.25" thickTop="1" thickBot="1" x14ac:dyDescent="0.35">
      <c r="A11" s="5"/>
      <c r="B11" s="5"/>
      <c r="C11" s="5"/>
      <c r="D11" s="5"/>
      <c r="E11" s="5"/>
      <c r="F11" s="5"/>
      <c r="G11" s="5"/>
      <c r="H11" s="5"/>
      <c r="I11" s="76">
        <v>33</v>
      </c>
      <c r="J11" s="5"/>
      <c r="K11" s="5"/>
      <c r="L11" s="5"/>
      <c r="M11" s="5"/>
      <c r="N11" s="5"/>
      <c r="O11" s="5"/>
      <c r="P11" s="74"/>
      <c r="Q11" s="5"/>
      <c r="R11" s="5"/>
      <c r="S11" s="6">
        <v>1</v>
      </c>
      <c r="T11">
        <v>1</v>
      </c>
      <c r="W11" t="s">
        <v>34</v>
      </c>
      <c r="X11">
        <v>11</v>
      </c>
      <c r="Y11">
        <f t="shared" ref="Y11:Y16" si="0">LOG(X11)</f>
        <v>1.0413926851582251</v>
      </c>
      <c r="Z11">
        <v>3</v>
      </c>
      <c r="AA11">
        <f t="shared" ref="AA11:AA16" si="1">Z11/Y11</f>
        <v>2.8807577033673821</v>
      </c>
      <c r="AB11" s="10">
        <v>8</v>
      </c>
      <c r="AC11">
        <f t="shared" ref="AC11:AC16" si="2">X11/AB11</f>
        <v>1.375</v>
      </c>
      <c r="AD11">
        <f t="shared" ref="AD11:AD16" si="3">AA11+AC11</f>
        <v>4.2557577033673821</v>
      </c>
    </row>
    <row r="12" spans="1:30" ht="16.5" thickTop="1" thickBot="1" x14ac:dyDescent="0.3">
      <c r="A12" s="5"/>
      <c r="B12" s="5"/>
      <c r="C12" s="5"/>
      <c r="D12" s="5"/>
      <c r="E12" s="5"/>
      <c r="F12" s="11">
        <v>1</v>
      </c>
      <c r="G12" s="45">
        <v>1</v>
      </c>
      <c r="H12" s="10"/>
      <c r="I12" s="77">
        <v>33</v>
      </c>
      <c r="J12" s="5"/>
      <c r="K12" s="5"/>
      <c r="L12" s="5"/>
      <c r="M12" s="5"/>
      <c r="N12" s="5"/>
      <c r="O12" s="5"/>
      <c r="P12" s="5"/>
      <c r="Q12" s="5"/>
      <c r="R12" s="5"/>
      <c r="S12" s="6">
        <v>2</v>
      </c>
      <c r="T12">
        <v>3</v>
      </c>
      <c r="W12" t="s">
        <v>33</v>
      </c>
      <c r="X12">
        <v>11</v>
      </c>
      <c r="Y12">
        <f t="shared" si="0"/>
        <v>1.0413926851582251</v>
      </c>
      <c r="Z12">
        <v>3</v>
      </c>
      <c r="AA12">
        <f t="shared" si="1"/>
        <v>2.8807577033673821</v>
      </c>
      <c r="AB12" s="10">
        <v>8</v>
      </c>
      <c r="AC12">
        <f t="shared" si="2"/>
        <v>1.375</v>
      </c>
      <c r="AD12">
        <f t="shared" si="3"/>
        <v>4.2557577033673821</v>
      </c>
    </row>
    <row r="13" spans="1:30" ht="16.5" thickTop="1" thickBot="1" x14ac:dyDescent="0.3">
      <c r="A13" s="5"/>
      <c r="B13" s="5"/>
      <c r="C13" s="5"/>
      <c r="D13" s="46">
        <v>7</v>
      </c>
      <c r="E13" s="11">
        <v>1</v>
      </c>
      <c r="F13" s="5">
        <v>1</v>
      </c>
      <c r="G13" s="5">
        <v>1</v>
      </c>
      <c r="H13" s="16">
        <v>33</v>
      </c>
      <c r="I13" s="78">
        <v>33</v>
      </c>
      <c r="J13" s="5"/>
      <c r="K13" s="5"/>
      <c r="L13" s="5"/>
      <c r="N13" s="5"/>
      <c r="O13" s="5"/>
      <c r="P13" s="75"/>
      <c r="Q13" s="5"/>
      <c r="R13" s="5"/>
      <c r="S13" s="6">
        <v>3</v>
      </c>
      <c r="W13" t="s">
        <v>32</v>
      </c>
      <c r="X13">
        <v>10</v>
      </c>
      <c r="Y13">
        <f t="shared" si="0"/>
        <v>1</v>
      </c>
      <c r="Z13">
        <v>3</v>
      </c>
      <c r="AA13">
        <f t="shared" si="1"/>
        <v>3</v>
      </c>
      <c r="AB13" s="10">
        <v>5</v>
      </c>
      <c r="AC13">
        <f t="shared" si="2"/>
        <v>2</v>
      </c>
      <c r="AD13">
        <f t="shared" si="3"/>
        <v>5</v>
      </c>
    </row>
    <row r="14" spans="1:30" ht="16.5" thickTop="1" thickBot="1" x14ac:dyDescent="0.3">
      <c r="A14" s="5"/>
      <c r="B14" s="5"/>
      <c r="C14" s="46">
        <v>7</v>
      </c>
      <c r="D14" s="5">
        <v>7</v>
      </c>
      <c r="E14" s="48">
        <v>1</v>
      </c>
      <c r="F14" s="5">
        <v>1</v>
      </c>
      <c r="G14" s="10">
        <v>1</v>
      </c>
      <c r="H14" s="79">
        <v>33</v>
      </c>
      <c r="I14" s="10">
        <v>33</v>
      </c>
      <c r="J14" s="17">
        <v>33</v>
      </c>
      <c r="K14" s="5"/>
      <c r="L14" s="5"/>
      <c r="N14" s="5"/>
      <c r="O14" s="5"/>
      <c r="P14" s="5"/>
      <c r="Q14" s="5"/>
      <c r="R14" s="5"/>
      <c r="S14" s="6">
        <v>4</v>
      </c>
      <c r="T14">
        <v>3</v>
      </c>
      <c r="W14" t="s">
        <v>31</v>
      </c>
      <c r="X14">
        <v>11</v>
      </c>
      <c r="Y14">
        <f t="shared" si="0"/>
        <v>1.0413926851582251</v>
      </c>
      <c r="Z14">
        <v>7</v>
      </c>
      <c r="AA14">
        <f t="shared" si="1"/>
        <v>6.7217679745238916</v>
      </c>
      <c r="AB14" s="10">
        <v>8</v>
      </c>
      <c r="AC14">
        <f t="shared" si="2"/>
        <v>1.375</v>
      </c>
      <c r="AD14">
        <f t="shared" si="3"/>
        <v>8.0967679745238925</v>
      </c>
    </row>
    <row r="15" spans="1:30" ht="16.5" thickTop="1" thickBot="1" x14ac:dyDescent="0.3">
      <c r="A15" s="5"/>
      <c r="B15" s="46">
        <v>7</v>
      </c>
      <c r="C15" s="5">
        <v>7</v>
      </c>
      <c r="D15" s="5">
        <v>7</v>
      </c>
      <c r="E15" s="50">
        <v>1</v>
      </c>
      <c r="F15" s="10">
        <v>1</v>
      </c>
      <c r="G15" s="5">
        <v>1</v>
      </c>
      <c r="H15" s="79">
        <v>33</v>
      </c>
      <c r="I15" s="10">
        <v>33</v>
      </c>
      <c r="J15" s="78">
        <v>33</v>
      </c>
      <c r="K15" s="5"/>
      <c r="L15" s="5"/>
      <c r="N15" s="5"/>
      <c r="O15" s="5"/>
      <c r="P15" s="5"/>
      <c r="Q15" s="5"/>
      <c r="R15" s="5"/>
      <c r="S15" s="6">
        <v>5</v>
      </c>
      <c r="T15">
        <v>3</v>
      </c>
      <c r="W15" t="s">
        <v>36</v>
      </c>
      <c r="X15">
        <v>6</v>
      </c>
      <c r="Y15">
        <f t="shared" si="0"/>
        <v>0.77815125038364363</v>
      </c>
      <c r="Z15">
        <v>5</v>
      </c>
      <c r="AA15">
        <f t="shared" si="1"/>
        <v>6.4254860446923434</v>
      </c>
      <c r="AB15" s="10">
        <v>6</v>
      </c>
      <c r="AC15">
        <f t="shared" si="2"/>
        <v>1</v>
      </c>
      <c r="AD15">
        <f t="shared" si="3"/>
        <v>7.4254860446923434</v>
      </c>
    </row>
    <row r="16" spans="1:30" ht="15.75" thickTop="1" x14ac:dyDescent="0.25">
      <c r="A16" s="5"/>
      <c r="B16" s="49">
        <v>7</v>
      </c>
      <c r="C16" s="5">
        <v>7</v>
      </c>
      <c r="D16" s="5">
        <v>7</v>
      </c>
      <c r="E16" s="51">
        <v>3</v>
      </c>
      <c r="F16" s="52">
        <v>3</v>
      </c>
      <c r="G16" s="53">
        <v>3</v>
      </c>
      <c r="H16" s="54">
        <v>4</v>
      </c>
      <c r="I16" s="55">
        <v>4</v>
      </c>
      <c r="J16" s="56">
        <v>4</v>
      </c>
      <c r="K16" s="5"/>
      <c r="L16" s="5"/>
      <c r="N16" s="5"/>
      <c r="O16" s="5"/>
      <c r="P16" s="5"/>
      <c r="Q16" s="5"/>
      <c r="R16" s="5"/>
      <c r="S16" s="6">
        <v>6</v>
      </c>
      <c r="T16">
        <v>7</v>
      </c>
      <c r="W16" t="s">
        <v>37</v>
      </c>
      <c r="X16">
        <v>4</v>
      </c>
      <c r="Y16">
        <f t="shared" si="0"/>
        <v>0.6020599913279624</v>
      </c>
      <c r="Z16">
        <v>2</v>
      </c>
      <c r="AA16">
        <f t="shared" si="1"/>
        <v>3.3219280948873622</v>
      </c>
      <c r="AB16" s="10">
        <v>2</v>
      </c>
      <c r="AC16">
        <f t="shared" si="2"/>
        <v>2</v>
      </c>
      <c r="AD16">
        <f t="shared" si="3"/>
        <v>5.3219280948873617</v>
      </c>
    </row>
    <row r="17" spans="1:20" x14ac:dyDescent="0.25">
      <c r="A17" s="5"/>
      <c r="B17" s="49">
        <v>7</v>
      </c>
      <c r="C17" s="5">
        <v>7</v>
      </c>
      <c r="D17" s="5">
        <v>7</v>
      </c>
      <c r="E17" s="32">
        <v>3</v>
      </c>
      <c r="F17" s="10">
        <v>3</v>
      </c>
      <c r="G17" s="10">
        <v>3</v>
      </c>
      <c r="H17" s="57">
        <v>4</v>
      </c>
      <c r="I17" s="10">
        <v>4</v>
      </c>
      <c r="J17" s="58">
        <v>4</v>
      </c>
      <c r="K17" s="5"/>
      <c r="L17" s="5"/>
      <c r="N17" s="5"/>
      <c r="O17" s="5"/>
      <c r="P17" s="5"/>
      <c r="Q17" s="5"/>
      <c r="R17" s="5"/>
      <c r="S17" s="6">
        <v>7</v>
      </c>
      <c r="T17">
        <v>8</v>
      </c>
    </row>
    <row r="18" spans="1:20" ht="15.75" thickBot="1" x14ac:dyDescent="0.3">
      <c r="A18" s="5"/>
      <c r="B18" s="47">
        <v>7</v>
      </c>
      <c r="C18" s="5">
        <v>7</v>
      </c>
      <c r="D18" s="60">
        <v>7</v>
      </c>
      <c r="E18" s="61">
        <v>3</v>
      </c>
      <c r="F18" s="10">
        <v>3</v>
      </c>
      <c r="G18" s="10">
        <v>3</v>
      </c>
      <c r="H18" s="57">
        <v>4</v>
      </c>
      <c r="I18" s="10">
        <v>4</v>
      </c>
      <c r="J18" s="58">
        <v>4</v>
      </c>
      <c r="K18" s="5"/>
      <c r="L18" s="5"/>
      <c r="N18" s="5"/>
      <c r="O18" s="5"/>
      <c r="P18" s="5"/>
      <c r="Q18" s="5"/>
      <c r="R18" s="5"/>
      <c r="S18" s="6">
        <v>8</v>
      </c>
    </row>
    <row r="19" spans="1:20" ht="16.5" thickTop="1" thickBot="1" x14ac:dyDescent="0.3">
      <c r="A19" s="5"/>
      <c r="B19" s="62">
        <v>7</v>
      </c>
      <c r="C19" s="59">
        <v>7</v>
      </c>
      <c r="D19" s="5"/>
      <c r="E19" s="5"/>
      <c r="F19" s="61">
        <v>3</v>
      </c>
      <c r="G19" s="63">
        <v>3</v>
      </c>
      <c r="H19" s="80">
        <v>18</v>
      </c>
      <c r="I19" s="57">
        <v>4</v>
      </c>
      <c r="J19" s="58">
        <v>4</v>
      </c>
      <c r="K19" s="5"/>
      <c r="L19" s="5"/>
      <c r="N19" s="10"/>
      <c r="O19" s="5"/>
      <c r="P19" s="5"/>
      <c r="Q19" s="5"/>
      <c r="R19" s="5"/>
      <c r="S19" s="6">
        <v>9</v>
      </c>
      <c r="T19">
        <v>3</v>
      </c>
    </row>
    <row r="20" spans="1:20" ht="16.5" thickTop="1" thickBot="1" x14ac:dyDescent="0.3">
      <c r="A20" s="5"/>
      <c r="B20" s="10"/>
      <c r="C20" s="5"/>
      <c r="D20" s="5"/>
      <c r="E20" s="5"/>
      <c r="F20" s="5"/>
      <c r="G20" s="10"/>
      <c r="H20" s="28">
        <v>5</v>
      </c>
      <c r="I20" s="64">
        <v>5</v>
      </c>
      <c r="J20" s="65">
        <v>5</v>
      </c>
      <c r="K20" s="5"/>
      <c r="L20" s="5"/>
      <c r="M20" s="10"/>
      <c r="P20" s="5"/>
      <c r="Q20" s="5"/>
      <c r="R20" s="5"/>
    </row>
    <row r="21" spans="1:20" ht="16.5" thickTop="1" thickBot="1" x14ac:dyDescent="0.3">
      <c r="A21" s="5"/>
      <c r="B21" s="5"/>
      <c r="C21" s="5"/>
      <c r="D21" s="5"/>
      <c r="E21" s="5"/>
      <c r="F21" s="5"/>
      <c r="G21" s="10"/>
      <c r="H21" s="66">
        <v>5</v>
      </c>
      <c r="I21" s="67">
        <v>5</v>
      </c>
      <c r="J21" s="5"/>
      <c r="K21" s="5"/>
      <c r="L21" s="5"/>
      <c r="M21" s="5"/>
      <c r="N21" s="5"/>
      <c r="O21" s="5">
        <v>11</v>
      </c>
      <c r="P21" s="5"/>
      <c r="Q21" s="5"/>
      <c r="R21" s="5"/>
    </row>
    <row r="22" spans="1:20" ht="16.5" thickTop="1" thickBot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>
        <v>11</v>
      </c>
      <c r="O22" s="5"/>
      <c r="P22" s="5"/>
      <c r="Q22" s="5"/>
      <c r="R22" s="5"/>
    </row>
    <row r="23" spans="1:20" ht="15.75" thickTop="1" x14ac:dyDescent="0.25">
      <c r="A23" s="5"/>
      <c r="B23" s="5"/>
      <c r="C23" s="5"/>
      <c r="D23" s="5"/>
      <c r="E23" s="5"/>
      <c r="F23" s="5"/>
      <c r="G23" s="5"/>
      <c r="H23" s="68">
        <v>8</v>
      </c>
      <c r="I23" s="69">
        <v>8</v>
      </c>
      <c r="J23" s="5"/>
      <c r="K23" s="5"/>
      <c r="L23" s="5"/>
      <c r="M23" s="5"/>
      <c r="N23" s="5">
        <v>11</v>
      </c>
      <c r="O23" s="5"/>
      <c r="P23" s="5"/>
      <c r="Q23" s="5"/>
      <c r="R23" s="5"/>
    </row>
    <row r="24" spans="1:20" ht="15.75" thickBot="1" x14ac:dyDescent="0.3">
      <c r="A24" s="5"/>
      <c r="B24" s="5"/>
      <c r="C24" s="5"/>
      <c r="D24" s="5"/>
      <c r="E24" s="5"/>
      <c r="F24" s="5"/>
      <c r="G24" s="5"/>
      <c r="H24" s="70">
        <v>8</v>
      </c>
      <c r="I24" s="71">
        <v>8</v>
      </c>
      <c r="J24" s="5"/>
      <c r="K24" s="5"/>
      <c r="L24" s="5"/>
      <c r="M24" s="5"/>
      <c r="N24" s="5">
        <v>11</v>
      </c>
      <c r="O24" s="5"/>
      <c r="P24" s="5"/>
      <c r="Q24" s="5"/>
      <c r="R24" s="5"/>
    </row>
    <row r="25" spans="1:20" ht="15.75" thickTop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</row>
    <row r="26" spans="1:20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1:20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Q27" s="5"/>
      <c r="R27" s="5"/>
    </row>
    <row r="30" spans="1:20" x14ac:dyDescent="0.25">
      <c r="A30" s="5">
        <v>1</v>
      </c>
      <c r="B30" s="5"/>
      <c r="C30" s="5">
        <v>2</v>
      </c>
    </row>
    <row r="31" spans="1:20" x14ac:dyDescent="0.25">
      <c r="A31">
        <v>15</v>
      </c>
      <c r="C31">
        <v>18</v>
      </c>
    </row>
    <row r="34" spans="2:11" x14ac:dyDescent="0.25">
      <c r="F34" s="92">
        <v>25</v>
      </c>
    </row>
    <row r="36" spans="2:11" x14ac:dyDescent="0.25">
      <c r="I36">
        <v>12</v>
      </c>
    </row>
    <row r="40" spans="2:11" x14ac:dyDescent="0.25">
      <c r="B40" s="1"/>
      <c r="C40" s="2"/>
      <c r="D40" s="2"/>
      <c r="E40" s="2"/>
      <c r="F40" s="2"/>
      <c r="G40" s="2"/>
      <c r="H40" s="2"/>
      <c r="I40" s="2"/>
      <c r="J40" s="2"/>
      <c r="K40" s="3"/>
    </row>
    <row r="41" spans="2:11" x14ac:dyDescent="0.25">
      <c r="B41" s="4"/>
      <c r="C41" s="5">
        <v>1</v>
      </c>
      <c r="D41" s="5">
        <v>1</v>
      </c>
      <c r="E41" s="5"/>
      <c r="F41" s="5"/>
      <c r="G41" s="5">
        <v>3</v>
      </c>
      <c r="H41" s="5"/>
      <c r="I41" s="5"/>
      <c r="J41" s="5"/>
      <c r="K41" s="6"/>
    </row>
    <row r="42" spans="2:11" x14ac:dyDescent="0.25">
      <c r="B42" s="4"/>
      <c r="C42" s="5">
        <v>1</v>
      </c>
      <c r="D42" s="5">
        <v>1</v>
      </c>
      <c r="E42" s="5"/>
      <c r="F42" s="5">
        <v>3</v>
      </c>
      <c r="G42" s="10">
        <v>3</v>
      </c>
      <c r="H42" s="10">
        <v>3</v>
      </c>
      <c r="I42" s="5"/>
      <c r="J42" s="5"/>
      <c r="K42" s="6"/>
    </row>
    <row r="43" spans="2:11" x14ac:dyDescent="0.25">
      <c r="B43" s="4"/>
      <c r="C43" s="5"/>
      <c r="D43" s="5">
        <v>1</v>
      </c>
      <c r="E43" s="5">
        <v>2</v>
      </c>
      <c r="F43" s="5">
        <v>4</v>
      </c>
      <c r="G43" s="5">
        <v>4</v>
      </c>
      <c r="H43" s="10">
        <v>5</v>
      </c>
      <c r="I43" s="5"/>
      <c r="J43" s="5"/>
      <c r="K43" s="6"/>
    </row>
    <row r="44" spans="2:11" x14ac:dyDescent="0.25">
      <c r="B44" s="4"/>
      <c r="C44" s="5"/>
      <c r="D44" s="10">
        <v>2</v>
      </c>
      <c r="E44" s="5">
        <v>2</v>
      </c>
      <c r="F44" s="5">
        <v>4</v>
      </c>
      <c r="G44" s="10">
        <v>5</v>
      </c>
      <c r="H44" s="5"/>
      <c r="I44" s="5"/>
      <c r="J44" s="5"/>
      <c r="K44" s="6"/>
    </row>
    <row r="45" spans="2:11" x14ac:dyDescent="0.25">
      <c r="B45" s="4"/>
      <c r="C45" s="5">
        <v>2</v>
      </c>
      <c r="D45" s="10">
        <v>2</v>
      </c>
      <c r="E45" s="5">
        <v>2</v>
      </c>
      <c r="F45" s="10">
        <v>5</v>
      </c>
      <c r="G45" s="10">
        <v>5</v>
      </c>
      <c r="H45" s="5"/>
      <c r="I45" s="5"/>
      <c r="J45" s="5"/>
      <c r="K45" s="6"/>
    </row>
    <row r="46" spans="2:11" x14ac:dyDescent="0.25">
      <c r="B46" s="4"/>
      <c r="C46" s="5"/>
      <c r="D46" s="5"/>
      <c r="E46" s="5"/>
      <c r="F46" s="5"/>
      <c r="G46" s="5"/>
      <c r="H46" s="5">
        <v>6</v>
      </c>
      <c r="I46" s="5">
        <v>7</v>
      </c>
      <c r="J46" s="5"/>
      <c r="K46" s="6"/>
    </row>
    <row r="47" spans="2:11" x14ac:dyDescent="0.25">
      <c r="B47" s="4"/>
      <c r="C47" s="5"/>
      <c r="D47" s="5"/>
      <c r="E47" s="5"/>
      <c r="F47" s="5"/>
      <c r="G47" s="5"/>
      <c r="H47" s="10">
        <v>7</v>
      </c>
      <c r="I47" s="5">
        <v>7</v>
      </c>
      <c r="J47" s="5"/>
      <c r="K47" s="6"/>
    </row>
    <row r="48" spans="2:11" x14ac:dyDescent="0.25">
      <c r="B48" s="4"/>
      <c r="C48" s="5"/>
      <c r="D48" s="5"/>
      <c r="E48" s="5"/>
      <c r="F48" s="5"/>
      <c r="G48" s="5"/>
      <c r="H48" s="5"/>
      <c r="I48" s="5"/>
      <c r="J48" s="5"/>
      <c r="K48" s="6"/>
    </row>
    <row r="49" spans="1:22" x14ac:dyDescent="0.25">
      <c r="B49" s="7"/>
      <c r="C49" s="8"/>
      <c r="D49" s="8"/>
      <c r="E49" s="8"/>
      <c r="F49" s="8"/>
      <c r="G49" s="8"/>
      <c r="H49" s="8"/>
      <c r="I49" s="8"/>
      <c r="J49" s="8"/>
      <c r="K49" s="9"/>
    </row>
    <row r="50" spans="1:22" x14ac:dyDescent="0.25">
      <c r="U50">
        <v>1</v>
      </c>
      <c r="V50" t="s">
        <v>108</v>
      </c>
    </row>
    <row r="51" spans="1:22" x14ac:dyDescent="0.25">
      <c r="U51">
        <v>2</v>
      </c>
      <c r="V51" t="s">
        <v>109</v>
      </c>
    </row>
    <row r="52" spans="1:22" x14ac:dyDescent="0.25">
      <c r="U52">
        <v>3</v>
      </c>
      <c r="V52" t="s">
        <v>110</v>
      </c>
    </row>
    <row r="53" spans="1:22" x14ac:dyDescent="0.25">
      <c r="U53">
        <v>4</v>
      </c>
      <c r="V53" t="s">
        <v>107</v>
      </c>
    </row>
    <row r="54" spans="1:22" x14ac:dyDescent="0.25">
      <c r="U54">
        <v>5</v>
      </c>
      <c r="V54" t="s">
        <v>111</v>
      </c>
    </row>
    <row r="55" spans="1:22" x14ac:dyDescent="0.25">
      <c r="U55">
        <v>6</v>
      </c>
      <c r="V55" t="s">
        <v>112</v>
      </c>
    </row>
    <row r="56" spans="1:22" x14ac:dyDescent="0.25">
      <c r="U56">
        <v>7</v>
      </c>
      <c r="V56" t="s">
        <v>113</v>
      </c>
    </row>
    <row r="57" spans="1:22" x14ac:dyDescent="0.25">
      <c r="U57">
        <v>8</v>
      </c>
      <c r="V57" t="s">
        <v>114</v>
      </c>
    </row>
    <row r="58" spans="1:22" x14ac:dyDescent="0.25">
      <c r="U58">
        <v>9</v>
      </c>
      <c r="V58" t="s">
        <v>40</v>
      </c>
    </row>
    <row r="59" spans="1:22" x14ac:dyDescent="0.25">
      <c r="A59">
        <v>19</v>
      </c>
      <c r="U59">
        <v>10</v>
      </c>
      <c r="V59" t="s">
        <v>115</v>
      </c>
    </row>
    <row r="60" spans="1:22" x14ac:dyDescent="0.25">
      <c r="U60">
        <v>11</v>
      </c>
      <c r="V60" t="s">
        <v>116</v>
      </c>
    </row>
    <row r="61" spans="1:22" x14ac:dyDescent="0.25">
      <c r="A61">
        <v>1</v>
      </c>
      <c r="E61">
        <v>1</v>
      </c>
      <c r="U61">
        <v>12</v>
      </c>
      <c r="V61" t="s">
        <v>117</v>
      </c>
    </row>
    <row r="62" spans="1:22" x14ac:dyDescent="0.25">
      <c r="A62">
        <v>2</v>
      </c>
      <c r="E62">
        <v>2</v>
      </c>
      <c r="U62">
        <v>13</v>
      </c>
      <c r="V62" t="s">
        <v>118</v>
      </c>
    </row>
    <row r="63" spans="1:22" x14ac:dyDescent="0.25">
      <c r="A63">
        <v>3</v>
      </c>
      <c r="E63">
        <v>3</v>
      </c>
      <c r="U63">
        <v>14</v>
      </c>
      <c r="V63" t="s">
        <v>119</v>
      </c>
    </row>
    <row r="64" spans="1:22" x14ac:dyDescent="0.25">
      <c r="A64">
        <v>4</v>
      </c>
      <c r="E64">
        <v>4</v>
      </c>
      <c r="U64">
        <v>15</v>
      </c>
      <c r="V64" t="s">
        <v>120</v>
      </c>
    </row>
    <row r="65" spans="1:22" x14ac:dyDescent="0.25">
      <c r="A65">
        <v>5</v>
      </c>
      <c r="E65">
        <v>5</v>
      </c>
      <c r="U65">
        <v>16</v>
      </c>
      <c r="V65" t="s">
        <v>121</v>
      </c>
    </row>
    <row r="66" spans="1:22" x14ac:dyDescent="0.25">
      <c r="A66">
        <v>6</v>
      </c>
      <c r="E66">
        <v>6</v>
      </c>
      <c r="U66">
        <v>17</v>
      </c>
      <c r="V66" t="s">
        <v>122</v>
      </c>
    </row>
    <row r="67" spans="1:22" x14ac:dyDescent="0.25">
      <c r="A67">
        <v>7</v>
      </c>
      <c r="E67">
        <v>7</v>
      </c>
      <c r="U67">
        <v>18</v>
      </c>
      <c r="V67" t="s">
        <v>123</v>
      </c>
    </row>
    <row r="68" spans="1:22" x14ac:dyDescent="0.25">
      <c r="A68">
        <v>8</v>
      </c>
      <c r="E68">
        <v>8</v>
      </c>
      <c r="U68">
        <v>19</v>
      </c>
      <c r="V68" t="s">
        <v>124</v>
      </c>
    </row>
    <row r="69" spans="1:22" x14ac:dyDescent="0.25">
      <c r="A69">
        <v>9</v>
      </c>
      <c r="E69">
        <v>9</v>
      </c>
      <c r="U69">
        <v>20</v>
      </c>
      <c r="V69" t="s">
        <v>125</v>
      </c>
    </row>
    <row r="70" spans="1:22" x14ac:dyDescent="0.25">
      <c r="A70">
        <v>10</v>
      </c>
      <c r="E70">
        <v>10</v>
      </c>
      <c r="U70">
        <v>21</v>
      </c>
      <c r="V70" t="s">
        <v>126</v>
      </c>
    </row>
    <row r="71" spans="1:22" x14ac:dyDescent="0.25">
      <c r="U71">
        <v>22</v>
      </c>
      <c r="V71" t="s">
        <v>127</v>
      </c>
    </row>
    <row r="72" spans="1:22" x14ac:dyDescent="0.25">
      <c r="U72">
        <v>23</v>
      </c>
      <c r="V72" t="s">
        <v>128</v>
      </c>
    </row>
    <row r="73" spans="1:22" x14ac:dyDescent="0.25">
      <c r="U73">
        <v>24</v>
      </c>
      <c r="V73" t="s">
        <v>129</v>
      </c>
    </row>
    <row r="74" spans="1:22" x14ac:dyDescent="0.25">
      <c r="U74">
        <v>25</v>
      </c>
      <c r="V74" t="s">
        <v>130</v>
      </c>
    </row>
    <row r="75" spans="1:22" x14ac:dyDescent="0.25">
      <c r="U75">
        <v>26</v>
      </c>
      <c r="V75" t="s">
        <v>131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Z21"/>
  <sheetViews>
    <sheetView workbookViewId="0">
      <selection activeCell="Y21" sqref="Y21"/>
    </sheetView>
  </sheetViews>
  <sheetFormatPr defaultRowHeight="15" x14ac:dyDescent="0.25"/>
  <cols>
    <col min="1" max="22" width="3.42578125" customWidth="1"/>
  </cols>
  <sheetData>
    <row r="2" spans="2:26" x14ac:dyDescent="0.25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"/>
      <c r="W2">
        <v>1</v>
      </c>
    </row>
    <row r="3" spans="2:26" x14ac:dyDescent="0.25">
      <c r="B3" s="4"/>
      <c r="C3" s="5">
        <v>1</v>
      </c>
      <c r="D3" s="5">
        <v>2</v>
      </c>
      <c r="E3" s="5">
        <v>3</v>
      </c>
      <c r="F3" s="10">
        <v>4</v>
      </c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6"/>
    </row>
    <row r="4" spans="2:26" x14ac:dyDescent="0.25">
      <c r="B4" s="4"/>
      <c r="C4" s="5"/>
      <c r="D4" s="5"/>
      <c r="E4" s="5">
        <v>5</v>
      </c>
      <c r="F4" s="5">
        <v>6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"/>
    </row>
    <row r="5" spans="2:26" x14ac:dyDescent="0.25">
      <c r="B5" s="4"/>
      <c r="C5" s="5"/>
      <c r="D5" s="5"/>
      <c r="E5" s="5"/>
      <c r="F5" s="5">
        <v>7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6"/>
    </row>
    <row r="6" spans="2:26" x14ac:dyDescent="0.25">
      <c r="B6" s="4"/>
      <c r="C6" s="5"/>
      <c r="D6" s="5"/>
      <c r="E6" s="5"/>
      <c r="F6" s="10">
        <v>8</v>
      </c>
      <c r="G6" s="5">
        <v>9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6"/>
      <c r="Z6">
        <v>2</v>
      </c>
    </row>
    <row r="7" spans="2:26" x14ac:dyDescent="0.25">
      <c r="B7" s="4"/>
      <c r="C7" s="5"/>
      <c r="D7" s="5"/>
      <c r="E7" s="5">
        <v>10</v>
      </c>
      <c r="F7" s="10">
        <v>11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6"/>
    </row>
    <row r="8" spans="2:26" x14ac:dyDescent="0.25"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6"/>
    </row>
    <row r="9" spans="2:26" x14ac:dyDescent="0.25"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6"/>
    </row>
    <row r="10" spans="2:26" x14ac:dyDescent="0.25"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6"/>
    </row>
    <row r="11" spans="2:26" x14ac:dyDescent="0.25"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6"/>
    </row>
    <row r="12" spans="2:26" x14ac:dyDescent="0.25"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6"/>
    </row>
    <row r="13" spans="2:26" x14ac:dyDescent="0.25"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6"/>
    </row>
    <row r="14" spans="2:26" x14ac:dyDescent="0.25"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6"/>
    </row>
    <row r="15" spans="2:26" x14ac:dyDescent="0.25"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6"/>
    </row>
    <row r="16" spans="2:26" x14ac:dyDescent="0.25"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6"/>
    </row>
    <row r="17" spans="2:21" x14ac:dyDescent="0.25"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6"/>
    </row>
    <row r="18" spans="2:21" x14ac:dyDescent="0.25"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6"/>
    </row>
    <row r="19" spans="2:21" x14ac:dyDescent="0.25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6"/>
    </row>
    <row r="20" spans="2:21" x14ac:dyDescent="0.25"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6"/>
    </row>
    <row r="21" spans="2:21" x14ac:dyDescent="0.25"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1"/>
  <sheetViews>
    <sheetView topLeftCell="A23" workbookViewId="0">
      <selection activeCell="G31" sqref="G31"/>
    </sheetView>
  </sheetViews>
  <sheetFormatPr defaultRowHeight="15" x14ac:dyDescent="0.25"/>
  <sheetData>
    <row r="1" spans="1:7" x14ac:dyDescent="0.25">
      <c r="A1" s="8" t="s">
        <v>10</v>
      </c>
      <c r="B1" s="8"/>
      <c r="C1" s="8"/>
      <c r="D1" s="8" t="s">
        <v>19</v>
      </c>
    </row>
    <row r="2" spans="1:7" x14ac:dyDescent="0.25">
      <c r="A2" t="s">
        <v>11</v>
      </c>
      <c r="D2">
        <v>3</v>
      </c>
      <c r="F2">
        <v>3</v>
      </c>
      <c r="G2" t="s">
        <v>44</v>
      </c>
    </row>
    <row r="3" spans="1:7" x14ac:dyDescent="0.25">
      <c r="A3" t="s">
        <v>12</v>
      </c>
      <c r="D3">
        <v>3</v>
      </c>
      <c r="F3">
        <v>2</v>
      </c>
      <c r="G3" t="s">
        <v>58</v>
      </c>
    </row>
    <row r="4" spans="1:7" x14ac:dyDescent="0.25">
      <c r="A4" t="s">
        <v>13</v>
      </c>
      <c r="D4">
        <v>3</v>
      </c>
      <c r="F4">
        <v>1</v>
      </c>
      <c r="G4" t="s">
        <v>45</v>
      </c>
    </row>
    <row r="5" spans="1:7" x14ac:dyDescent="0.25">
      <c r="A5" t="s">
        <v>14</v>
      </c>
      <c r="D5">
        <v>3</v>
      </c>
      <c r="F5">
        <v>0</v>
      </c>
      <c r="G5" t="s">
        <v>46</v>
      </c>
    </row>
    <row r="6" spans="1:7" x14ac:dyDescent="0.25">
      <c r="A6" t="s">
        <v>16</v>
      </c>
      <c r="D6">
        <v>2</v>
      </c>
    </row>
    <row r="7" spans="1:7" x14ac:dyDescent="0.25">
      <c r="A7" t="s">
        <v>39</v>
      </c>
      <c r="D7">
        <v>2</v>
      </c>
    </row>
    <row r="8" spans="1:7" x14ac:dyDescent="0.25">
      <c r="A8" t="s">
        <v>15</v>
      </c>
      <c r="D8">
        <v>3</v>
      </c>
    </row>
    <row r="9" spans="1:7" x14ac:dyDescent="0.25">
      <c r="A9" t="s">
        <v>38</v>
      </c>
      <c r="D9">
        <v>3</v>
      </c>
    </row>
    <row r="10" spans="1:7" x14ac:dyDescent="0.25">
      <c r="A10" t="s">
        <v>17</v>
      </c>
      <c r="D10">
        <v>2</v>
      </c>
    </row>
    <row r="11" spans="1:7" x14ac:dyDescent="0.25">
      <c r="A11" t="s">
        <v>18</v>
      </c>
      <c r="D11">
        <v>1</v>
      </c>
    </row>
    <row r="12" spans="1:7" x14ac:dyDescent="0.25">
      <c r="A12" t="s">
        <v>20</v>
      </c>
      <c r="D12">
        <v>2</v>
      </c>
    </row>
    <row r="13" spans="1:7" x14ac:dyDescent="0.25">
      <c r="A13" t="s">
        <v>21</v>
      </c>
      <c r="D13">
        <v>2</v>
      </c>
    </row>
    <row r="14" spans="1:7" x14ac:dyDescent="0.25">
      <c r="A14" t="s">
        <v>22</v>
      </c>
      <c r="D14">
        <v>3</v>
      </c>
    </row>
    <row r="15" spans="1:7" x14ac:dyDescent="0.25">
      <c r="A15" t="s">
        <v>23</v>
      </c>
      <c r="D15">
        <v>3</v>
      </c>
    </row>
    <row r="16" spans="1:7" x14ac:dyDescent="0.25">
      <c r="A16" t="s">
        <v>24</v>
      </c>
      <c r="D16">
        <v>2</v>
      </c>
    </row>
    <row r="17" spans="1:4" x14ac:dyDescent="0.25">
      <c r="A17" t="s">
        <v>25</v>
      </c>
      <c r="D17">
        <v>2</v>
      </c>
    </row>
    <row r="18" spans="1:4" x14ac:dyDescent="0.25">
      <c r="A18" t="s">
        <v>26</v>
      </c>
      <c r="D18">
        <v>1</v>
      </c>
    </row>
    <row r="19" spans="1:4" x14ac:dyDescent="0.25">
      <c r="A19" t="s">
        <v>27</v>
      </c>
      <c r="D19">
        <v>1</v>
      </c>
    </row>
    <row r="20" spans="1:4" x14ac:dyDescent="0.25">
      <c r="A20" t="s">
        <v>28</v>
      </c>
      <c r="D20">
        <v>1</v>
      </c>
    </row>
    <row r="21" spans="1:4" x14ac:dyDescent="0.25">
      <c r="A21" t="s">
        <v>43</v>
      </c>
      <c r="D21">
        <v>3</v>
      </c>
    </row>
    <row r="22" spans="1:4" x14ac:dyDescent="0.25">
      <c r="A22" t="s">
        <v>47</v>
      </c>
      <c r="D22">
        <v>3</v>
      </c>
    </row>
    <row r="23" spans="1:4" x14ac:dyDescent="0.25">
      <c r="A23" t="s">
        <v>59</v>
      </c>
      <c r="D23">
        <v>0</v>
      </c>
    </row>
    <row r="24" spans="1:4" x14ac:dyDescent="0.25">
      <c r="A24" t="s">
        <v>60</v>
      </c>
      <c r="D24">
        <v>0</v>
      </c>
    </row>
    <row r="25" spans="1:4" x14ac:dyDescent="0.25">
      <c r="A25" t="s">
        <v>61</v>
      </c>
      <c r="D25">
        <v>0</v>
      </c>
    </row>
    <row r="26" spans="1:4" x14ac:dyDescent="0.25">
      <c r="A26" t="s">
        <v>1</v>
      </c>
      <c r="B26" t="s">
        <v>135</v>
      </c>
    </row>
    <row r="27" spans="1:4" x14ac:dyDescent="0.25">
      <c r="B27" t="s">
        <v>136</v>
      </c>
      <c r="D27">
        <v>3</v>
      </c>
    </row>
    <row r="28" spans="1:4" x14ac:dyDescent="0.25">
      <c r="B28" t="s">
        <v>137</v>
      </c>
      <c r="D28">
        <v>3</v>
      </c>
    </row>
    <row r="29" spans="1:4" x14ac:dyDescent="0.25">
      <c r="B29" t="s">
        <v>138</v>
      </c>
      <c r="D29">
        <v>2</v>
      </c>
    </row>
    <row r="30" spans="1:4" x14ac:dyDescent="0.25">
      <c r="B30" t="s">
        <v>139</v>
      </c>
      <c r="D30">
        <v>0</v>
      </c>
    </row>
    <row r="31" spans="1:4" x14ac:dyDescent="0.25">
      <c r="B31" t="s">
        <v>140</v>
      </c>
      <c r="D31">
        <v>0</v>
      </c>
    </row>
  </sheetData>
  <conditionalFormatting sqref="D2:D25 D27:D3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2"/>
  <sheetViews>
    <sheetView workbookViewId="0">
      <selection activeCell="H18" sqref="H18"/>
    </sheetView>
  </sheetViews>
  <sheetFormatPr defaultRowHeight="15" x14ac:dyDescent="0.25"/>
  <cols>
    <col min="1" max="5" width="9.140625" customWidth="1"/>
  </cols>
  <sheetData>
    <row r="1" spans="1:7" x14ac:dyDescent="0.25">
      <c r="A1" t="s">
        <v>104</v>
      </c>
      <c r="B1" t="s">
        <v>67</v>
      </c>
      <c r="C1" t="s">
        <v>68</v>
      </c>
    </row>
    <row r="2" spans="1:7" x14ac:dyDescent="0.25">
      <c r="A2" t="s">
        <v>69</v>
      </c>
      <c r="B2" t="s">
        <v>75</v>
      </c>
      <c r="C2" t="s">
        <v>86</v>
      </c>
      <c r="D2">
        <v>1</v>
      </c>
      <c r="E2" t="s">
        <v>87</v>
      </c>
      <c r="F2">
        <v>2</v>
      </c>
      <c r="G2" t="s">
        <v>93</v>
      </c>
    </row>
    <row r="3" spans="1:7" x14ac:dyDescent="0.25">
      <c r="A3" t="s">
        <v>70</v>
      </c>
      <c r="B3" t="s">
        <v>76</v>
      </c>
      <c r="D3">
        <v>1</v>
      </c>
      <c r="E3" t="s">
        <v>88</v>
      </c>
      <c r="F3">
        <v>2</v>
      </c>
      <c r="G3" t="s">
        <v>94</v>
      </c>
    </row>
    <row r="4" spans="1:7" x14ac:dyDescent="0.25">
      <c r="A4" t="s">
        <v>71</v>
      </c>
      <c r="B4" t="s">
        <v>77</v>
      </c>
      <c r="D4">
        <v>2</v>
      </c>
      <c r="E4" t="s">
        <v>89</v>
      </c>
      <c r="F4">
        <v>1</v>
      </c>
      <c r="G4" t="s">
        <v>95</v>
      </c>
    </row>
    <row r="5" spans="1:7" x14ac:dyDescent="0.25">
      <c r="A5" t="s">
        <v>72</v>
      </c>
      <c r="B5" t="s">
        <v>78</v>
      </c>
      <c r="D5">
        <v>1</v>
      </c>
      <c r="E5" t="s">
        <v>90</v>
      </c>
      <c r="F5">
        <v>1</v>
      </c>
      <c r="G5" t="s">
        <v>96</v>
      </c>
    </row>
    <row r="6" spans="1:7" x14ac:dyDescent="0.25">
      <c r="A6" t="s">
        <v>73</v>
      </c>
      <c r="B6" t="s">
        <v>79</v>
      </c>
      <c r="D6">
        <v>1</v>
      </c>
      <c r="E6" t="s">
        <v>91</v>
      </c>
      <c r="F6">
        <v>1</v>
      </c>
      <c r="G6" t="s">
        <v>97</v>
      </c>
    </row>
    <row r="7" spans="1:7" x14ac:dyDescent="0.25">
      <c r="A7" t="s">
        <v>74</v>
      </c>
      <c r="B7" t="s">
        <v>80</v>
      </c>
      <c r="D7">
        <v>1</v>
      </c>
      <c r="E7" t="s">
        <v>92</v>
      </c>
      <c r="F7">
        <v>1</v>
      </c>
      <c r="G7" t="s">
        <v>98</v>
      </c>
    </row>
    <row r="8" spans="1:7" x14ac:dyDescent="0.25">
      <c r="B8" t="s">
        <v>81</v>
      </c>
      <c r="F8">
        <v>1</v>
      </c>
      <c r="G8" t="s">
        <v>99</v>
      </c>
    </row>
    <row r="9" spans="1:7" x14ac:dyDescent="0.25">
      <c r="B9" t="s">
        <v>82</v>
      </c>
      <c r="F9">
        <v>1</v>
      </c>
      <c r="G9" t="s">
        <v>100</v>
      </c>
    </row>
    <row r="10" spans="1:7" x14ac:dyDescent="0.25">
      <c r="B10" t="s">
        <v>83</v>
      </c>
      <c r="F10">
        <v>1</v>
      </c>
      <c r="G10" t="s">
        <v>101</v>
      </c>
    </row>
    <row r="11" spans="1:7" x14ac:dyDescent="0.25">
      <c r="B11" t="s">
        <v>84</v>
      </c>
      <c r="F11">
        <v>1</v>
      </c>
      <c r="G11" t="s">
        <v>102</v>
      </c>
    </row>
    <row r="12" spans="1:7" x14ac:dyDescent="0.25">
      <c r="B12" t="s">
        <v>85</v>
      </c>
      <c r="F12">
        <v>2</v>
      </c>
      <c r="G12" t="s">
        <v>103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I128"/>
  <sheetViews>
    <sheetView topLeftCell="A112" workbookViewId="0">
      <selection activeCell="G117" sqref="G117"/>
    </sheetView>
  </sheetViews>
  <sheetFormatPr defaultRowHeight="15" x14ac:dyDescent="0.25"/>
  <cols>
    <col min="1" max="1" width="15.85546875" bestFit="1" customWidth="1"/>
    <col min="4" max="4" width="14.85546875" bestFit="1" customWidth="1"/>
    <col min="7" max="7" width="10.7109375" bestFit="1" customWidth="1"/>
  </cols>
  <sheetData>
    <row r="2" spans="4:4" x14ac:dyDescent="0.25">
      <c r="D2" s="93"/>
    </row>
    <row r="100" spans="1:6" x14ac:dyDescent="0.25">
      <c r="A100" s="93">
        <v>41402.600821759261</v>
      </c>
      <c r="B100">
        <v>1</v>
      </c>
      <c r="C100" t="s">
        <v>48</v>
      </c>
    </row>
    <row r="101" spans="1:6" x14ac:dyDescent="0.25">
      <c r="A101" s="93">
        <f>A100+TIMEVALUE("01:00:00")</f>
        <v>41402.642488425925</v>
      </c>
      <c r="B101">
        <v>0</v>
      </c>
      <c r="D101">
        <f>A101-A100</f>
        <v>4.1666666664241347E-2</v>
      </c>
      <c r="E101">
        <f>D101</f>
        <v>4.1666666664241347E-2</v>
      </c>
      <c r="F101">
        <f t="shared" ref="F101" si="0">D101*24</f>
        <v>0.99999999994179234</v>
      </c>
    </row>
    <row r="102" spans="1:6" x14ac:dyDescent="0.25">
      <c r="A102" s="93">
        <v>41402.448495370372</v>
      </c>
      <c r="B102">
        <v>1</v>
      </c>
      <c r="C102" t="s">
        <v>49</v>
      </c>
    </row>
    <row r="103" spans="1:6" x14ac:dyDescent="0.25">
      <c r="A103" s="93">
        <v>41402.45239583333</v>
      </c>
      <c r="B103">
        <v>0</v>
      </c>
      <c r="D103">
        <f>A103-A102</f>
        <v>3.900462957972195E-3</v>
      </c>
      <c r="E103">
        <f>D103+E101</f>
        <v>4.5567129622213542E-2</v>
      </c>
      <c r="F103">
        <f t="shared" ref="F103" si="1">D103*24</f>
        <v>9.361111099133268E-2</v>
      </c>
    </row>
    <row r="104" spans="1:6" x14ac:dyDescent="0.25">
      <c r="A104" s="93">
        <v>41402.480694444443</v>
      </c>
      <c r="B104">
        <v>1</v>
      </c>
    </row>
    <row r="105" spans="1:6" x14ac:dyDescent="0.25">
      <c r="A105" s="93">
        <v>41402.510474537034</v>
      </c>
      <c r="B105">
        <v>0</v>
      </c>
      <c r="D105">
        <f t="shared" ref="D105" si="2">A105-A104</f>
        <v>2.9780092590954155E-2</v>
      </c>
      <c r="E105">
        <f t="shared" ref="E105" si="3">D105+E103</f>
        <v>7.5347222213167697E-2</v>
      </c>
      <c r="F105">
        <f t="shared" ref="F105" si="4">D105*24</f>
        <v>0.71472222218289971</v>
      </c>
    </row>
    <row r="106" spans="1:6" x14ac:dyDescent="0.25">
      <c r="A106" s="93">
        <v>41402.510601851849</v>
      </c>
      <c r="B106">
        <v>1</v>
      </c>
    </row>
    <row r="107" spans="1:6" x14ac:dyDescent="0.25">
      <c r="A107" s="93">
        <v>41402.539143518516</v>
      </c>
      <c r="B107">
        <v>0</v>
      </c>
      <c r="D107">
        <f t="shared" ref="D107" si="5">A107-A106</f>
        <v>2.8541666666569654E-2</v>
      </c>
      <c r="E107">
        <f t="shared" ref="E107" si="6">D107+E105</f>
        <v>0.10388888887973735</v>
      </c>
      <c r="F107">
        <f t="shared" ref="F107" si="7">D107*24</f>
        <v>0.68499999999767169</v>
      </c>
    </row>
    <row r="108" spans="1:6" x14ac:dyDescent="0.25">
      <c r="A108" s="93">
        <v>41402.549791666665</v>
      </c>
      <c r="B108">
        <v>1</v>
      </c>
    </row>
    <row r="109" spans="1:6" x14ac:dyDescent="0.25">
      <c r="A109" s="93">
        <v>41402.551724537036</v>
      </c>
      <c r="B109">
        <v>0</v>
      </c>
      <c r="D109">
        <f t="shared" ref="D109" si="8">A109-A108</f>
        <v>1.9328703710925765E-3</v>
      </c>
      <c r="E109">
        <f t="shared" ref="E109" si="9">D109+E107</f>
        <v>0.10582175925082993</v>
      </c>
      <c r="F109">
        <f t="shared" ref="F109" si="10">D109*24</f>
        <v>4.6388888906221837E-2</v>
      </c>
    </row>
    <row r="110" spans="1:6" x14ac:dyDescent="0.25">
      <c r="A110" s="93">
        <v>41402.551874999997</v>
      </c>
      <c r="B110">
        <v>1</v>
      </c>
    </row>
    <row r="111" spans="1:6" x14ac:dyDescent="0.25">
      <c r="A111" s="93">
        <v>41402.637280092589</v>
      </c>
      <c r="B111">
        <v>0</v>
      </c>
      <c r="D111">
        <f t="shared" ref="D111" si="11">A111-A110</f>
        <v>8.540509259182727E-2</v>
      </c>
      <c r="E111">
        <f t="shared" ref="E111" si="12">D111+E109</f>
        <v>0.1912268518426572</v>
      </c>
      <c r="F111">
        <f t="shared" ref="F111" si="13">D111*24</f>
        <v>2.0497222222038545</v>
      </c>
    </row>
    <row r="112" spans="1:6" x14ac:dyDescent="0.25">
      <c r="A112" s="93">
        <v>41402.796134259261</v>
      </c>
      <c r="B112">
        <v>1</v>
      </c>
    </row>
    <row r="113" spans="1:9" x14ac:dyDescent="0.25">
      <c r="A113" s="93">
        <v>41402.912673611114</v>
      </c>
      <c r="B113">
        <v>0</v>
      </c>
      <c r="D113">
        <f t="shared" ref="D113" si="14">A113-A112</f>
        <v>0.11653935185313458</v>
      </c>
      <c r="E113">
        <f t="shared" ref="E113" si="15">D113+E111</f>
        <v>0.30776620369579177</v>
      </c>
      <c r="F113">
        <f t="shared" ref="F113" si="16">D113*24</f>
        <v>2.7969444444752298</v>
      </c>
    </row>
    <row r="114" spans="1:9" x14ac:dyDescent="0.25">
      <c r="A114" s="93">
        <v>41404.383981481478</v>
      </c>
      <c r="B114">
        <v>1</v>
      </c>
    </row>
    <row r="115" spans="1:9" x14ac:dyDescent="0.25">
      <c r="A115" s="93">
        <v>41404.418749999997</v>
      </c>
      <c r="B115">
        <v>0</v>
      </c>
      <c r="D115">
        <f t="shared" ref="D115" si="17">A115-A114</f>
        <v>3.4768518518831115E-2</v>
      </c>
      <c r="E115">
        <f t="shared" ref="E115" si="18">D115+E113</f>
        <v>0.34253472221462289</v>
      </c>
      <c r="F115">
        <f t="shared" ref="F115" si="19">D115*24</f>
        <v>0.83444444445194677</v>
      </c>
    </row>
    <row r="116" spans="1:9" x14ac:dyDescent="0.25">
      <c r="A116" s="93">
        <v>41404.551018518519</v>
      </c>
      <c r="B116">
        <v>1</v>
      </c>
    </row>
    <row r="117" spans="1:9" x14ac:dyDescent="0.25">
      <c r="A117" s="93">
        <v>41404.583356481482</v>
      </c>
      <c r="B117">
        <v>0</v>
      </c>
      <c r="D117">
        <f t="shared" ref="D117" si="20">A117-A116</f>
        <v>3.2337962962628808E-2</v>
      </c>
      <c r="E117">
        <f t="shared" ref="E117" si="21">D117+E115</f>
        <v>0.3748726851772517</v>
      </c>
      <c r="F117">
        <f t="shared" ref="F117" si="22">D117*24</f>
        <v>0.77611111110309139</v>
      </c>
    </row>
    <row r="118" spans="1:9" x14ac:dyDescent="0.25">
      <c r="A118" s="93">
        <v>41405.75</v>
      </c>
      <c r="B118">
        <v>1</v>
      </c>
    </row>
    <row r="119" spans="1:9" x14ac:dyDescent="0.25">
      <c r="A119" s="93">
        <v>41405.850069444445</v>
      </c>
      <c r="B119">
        <v>0</v>
      </c>
      <c r="D119">
        <f t="shared" ref="D119" si="23">A119-A118</f>
        <v>0.10006944444467081</v>
      </c>
      <c r="E119">
        <f t="shared" ref="E119" si="24">D119+E117</f>
        <v>0.4749421296219225</v>
      </c>
      <c r="F119">
        <f t="shared" ref="F119" si="25">D119*24</f>
        <v>2.4016666666720994</v>
      </c>
    </row>
    <row r="120" spans="1:9" x14ac:dyDescent="0.25">
      <c r="A120" s="93">
        <v>41408.383113425924</v>
      </c>
      <c r="B120">
        <v>1</v>
      </c>
    </row>
    <row r="121" spans="1:9" x14ac:dyDescent="0.25">
      <c r="A121" s="93">
        <v>41408.413564814815</v>
      </c>
      <c r="B121">
        <v>0</v>
      </c>
      <c r="D121">
        <f t="shared" ref="D121" si="26">A121-A120</f>
        <v>3.0451388891378883E-2</v>
      </c>
      <c r="E121">
        <f>D121+E119</f>
        <v>0.50539351851330139</v>
      </c>
      <c r="F121">
        <f>D121*24</f>
        <v>0.7308333333930932</v>
      </c>
    </row>
    <row r="122" spans="1:9" x14ac:dyDescent="0.25">
      <c r="A122" s="93">
        <v>41408.530462962961</v>
      </c>
      <c r="B122">
        <v>1</v>
      </c>
    </row>
    <row r="123" spans="1:9" x14ac:dyDescent="0.25">
      <c r="A123" s="93">
        <v>41408.530613425923</v>
      </c>
      <c r="B123">
        <v>0</v>
      </c>
      <c r="D123">
        <f>A123-A122</f>
        <v>1.5046296175569296E-4</v>
      </c>
      <c r="E123">
        <f>D123+E121</f>
        <v>0.50554398147505708</v>
      </c>
      <c r="F123">
        <f t="shared" ref="F123" si="27">D123*24</f>
        <v>3.611111082136631E-3</v>
      </c>
    </row>
    <row r="124" spans="1:9" x14ac:dyDescent="0.25">
      <c r="A124" s="93">
        <v>41409.425023148149</v>
      </c>
      <c r="B124">
        <v>1</v>
      </c>
    </row>
    <row r="125" spans="1:9" x14ac:dyDescent="0.25">
      <c r="A125" s="93">
        <v>41409.43712962963</v>
      </c>
      <c r="B125">
        <v>0</v>
      </c>
      <c r="D125">
        <f>A125-A124</f>
        <v>1.2106481481168885E-2</v>
      </c>
      <c r="E125">
        <f>D125+E123</f>
        <v>0.51765046295622597</v>
      </c>
      <c r="F125">
        <f t="shared" ref="F125" si="28">D125*24</f>
        <v>0.29055555554805323</v>
      </c>
      <c r="G125" s="94">
        <v>41321</v>
      </c>
      <c r="H125">
        <f>A125-G125</f>
        <v>88.437129629630363</v>
      </c>
      <c r="I125" t="s">
        <v>65</v>
      </c>
    </row>
    <row r="126" spans="1:9" x14ac:dyDescent="0.25">
      <c r="A126" s="93"/>
      <c r="H126">
        <f>H125/7</f>
        <v>12.633875661375766</v>
      </c>
      <c r="I126" t="s">
        <v>64</v>
      </c>
    </row>
    <row r="128" spans="1:9" x14ac:dyDescent="0.25">
      <c r="D128" t="s">
        <v>62</v>
      </c>
      <c r="E128">
        <f>E125*24</f>
        <v>12.423611110949423</v>
      </c>
      <c r="F128" t="s">
        <v>63</v>
      </c>
      <c r="H128">
        <f>H126*E128</f>
        <v>156.95835804102146</v>
      </c>
      <c r="I128" t="s">
        <v>66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77"/>
  <sheetViews>
    <sheetView workbookViewId="0">
      <selection activeCell="A104" sqref="A104"/>
    </sheetView>
  </sheetViews>
  <sheetFormatPr defaultRowHeight="15" x14ac:dyDescent="0.25"/>
  <cols>
    <col min="1" max="1" width="15.85546875" bestFit="1" customWidth="1"/>
  </cols>
  <sheetData>
    <row r="1" spans="1:6" x14ac:dyDescent="0.25">
      <c r="B1" t="s">
        <v>105</v>
      </c>
      <c r="C1" t="s">
        <v>106</v>
      </c>
    </row>
    <row r="2" spans="1:6" x14ac:dyDescent="0.25">
      <c r="A2" s="93">
        <v>41416.4841087963</v>
      </c>
      <c r="B2">
        <v>1</v>
      </c>
    </row>
    <row r="3" spans="1:6" x14ac:dyDescent="0.25">
      <c r="A3" s="93">
        <v>41416.565578703703</v>
      </c>
      <c r="B3">
        <v>0</v>
      </c>
      <c r="D3">
        <f>IF(ABS(B3-B2)=1,1,0)</f>
        <v>1</v>
      </c>
      <c r="E3">
        <f>(A3-A2)*24</f>
        <v>1.9552777776843868</v>
      </c>
      <c r="F3">
        <f>IF(E3&gt;6,F1,E3+F1)</f>
        <v>1.9552777776843868</v>
      </c>
    </row>
    <row r="4" spans="1:6" x14ac:dyDescent="0.25">
      <c r="A4" s="93">
        <v>41417.445150462961</v>
      </c>
      <c r="B4">
        <v>1</v>
      </c>
      <c r="D4">
        <f>IF(ABS(B4-B3)=1,1,0)</f>
        <v>1</v>
      </c>
    </row>
    <row r="5" spans="1:6" x14ac:dyDescent="0.25">
      <c r="A5" s="93">
        <v>41417.657048611109</v>
      </c>
      <c r="B5">
        <v>0</v>
      </c>
      <c r="D5">
        <f t="shared" ref="D5:D44" si="0">IF(ABS(B5-B4)=1,1,0)</f>
        <v>1</v>
      </c>
      <c r="E5">
        <f>(A5-A4)*24</f>
        <v>5.0855555555317551</v>
      </c>
      <c r="F5">
        <f t="shared" ref="F5:F67" si="1">IF(E5&gt;6,F3,E5+F3)</f>
        <v>7.0408333332161419</v>
      </c>
    </row>
    <row r="6" spans="1:6" x14ac:dyDescent="0.25">
      <c r="A6" s="93">
        <v>41417.69803240741</v>
      </c>
      <c r="B6">
        <v>1</v>
      </c>
      <c r="D6">
        <f t="shared" si="0"/>
        <v>1</v>
      </c>
    </row>
    <row r="7" spans="1:6" x14ac:dyDescent="0.25">
      <c r="A7" s="93">
        <v>41417.740787037037</v>
      </c>
      <c r="B7">
        <v>0</v>
      </c>
      <c r="D7">
        <f t="shared" si="0"/>
        <v>1</v>
      </c>
      <c r="E7">
        <f t="shared" ref="E7" si="2">(A7-A6)*24</f>
        <v>1.0261111110448837</v>
      </c>
      <c r="F7">
        <f t="shared" si="1"/>
        <v>8.0669444442610256</v>
      </c>
    </row>
    <row r="8" spans="1:6" x14ac:dyDescent="0.25">
      <c r="A8" s="93">
        <v>41418.390833333331</v>
      </c>
      <c r="B8">
        <v>1</v>
      </c>
      <c r="D8">
        <f t="shared" si="0"/>
        <v>1</v>
      </c>
    </row>
    <row r="9" spans="1:6" x14ac:dyDescent="0.25">
      <c r="A9" s="93">
        <v>41421.435578703706</v>
      </c>
      <c r="B9">
        <v>0</v>
      </c>
      <c r="D9">
        <f t="shared" si="0"/>
        <v>1</v>
      </c>
      <c r="E9">
        <f t="shared" ref="E9" si="3">(A9-A8)*24</f>
        <v>73.073888888990041</v>
      </c>
      <c r="F9">
        <f t="shared" si="1"/>
        <v>8.0669444442610256</v>
      </c>
    </row>
    <row r="10" spans="1:6" x14ac:dyDescent="0.25">
      <c r="A10" s="93">
        <v>41422.380104166667</v>
      </c>
      <c r="B10">
        <v>1</v>
      </c>
      <c r="D10">
        <f t="shared" si="0"/>
        <v>1</v>
      </c>
    </row>
    <row r="11" spans="1:6" x14ac:dyDescent="0.25">
      <c r="A11" s="93">
        <v>41422.382511574076</v>
      </c>
      <c r="B11">
        <v>0</v>
      </c>
      <c r="D11">
        <f t="shared" si="0"/>
        <v>1</v>
      </c>
      <c r="E11">
        <f t="shared" ref="E11" si="4">(A11-A10)*24</f>
        <v>5.7777777838055044E-2</v>
      </c>
      <c r="F11">
        <f t="shared" si="1"/>
        <v>8.1247222220990807</v>
      </c>
    </row>
    <row r="12" spans="1:6" x14ac:dyDescent="0.25">
      <c r="A12" s="93">
        <v>41422.488391203704</v>
      </c>
      <c r="B12">
        <v>1</v>
      </c>
      <c r="D12">
        <f t="shared" si="0"/>
        <v>1</v>
      </c>
    </row>
    <row r="13" spans="1:6" x14ac:dyDescent="0.25">
      <c r="A13" s="93">
        <v>41422.547743055555</v>
      </c>
      <c r="B13">
        <v>0</v>
      </c>
      <c r="D13">
        <f t="shared" si="0"/>
        <v>1</v>
      </c>
      <c r="E13">
        <f t="shared" ref="E13" si="5">(A13-A12)*24</f>
        <v>1.4244444444193505</v>
      </c>
      <c r="F13">
        <f t="shared" si="1"/>
        <v>9.5491666665184312</v>
      </c>
    </row>
    <row r="14" spans="1:6" x14ac:dyDescent="0.25">
      <c r="A14" s="93">
        <v>41423.431388888886</v>
      </c>
      <c r="B14">
        <v>1</v>
      </c>
      <c r="D14">
        <f t="shared" si="0"/>
        <v>1</v>
      </c>
    </row>
    <row r="15" spans="1:6" x14ac:dyDescent="0.25">
      <c r="A15" s="93">
        <v>41423.477627314816</v>
      </c>
      <c r="B15">
        <v>0</v>
      </c>
      <c r="D15">
        <f t="shared" si="0"/>
        <v>1</v>
      </c>
      <c r="E15">
        <f t="shared" ref="E15" si="6">(A15-A14)*24</f>
        <v>1.1097222223179415</v>
      </c>
      <c r="F15">
        <f t="shared" si="1"/>
        <v>10.658888888836373</v>
      </c>
    </row>
    <row r="16" spans="1:6" x14ac:dyDescent="0.25">
      <c r="A16" s="93">
        <v>41423.484664351854</v>
      </c>
      <c r="B16">
        <v>1</v>
      </c>
      <c r="D16">
        <f t="shared" si="0"/>
        <v>1</v>
      </c>
    </row>
    <row r="17" spans="1:6" x14ac:dyDescent="0.25">
      <c r="A17" s="93">
        <v>41423.729641203703</v>
      </c>
      <c r="B17">
        <v>0</v>
      </c>
      <c r="D17">
        <f t="shared" si="0"/>
        <v>1</v>
      </c>
      <c r="E17">
        <f t="shared" ref="E17" si="7">(A17-A16)*24</f>
        <v>5.879444444377441</v>
      </c>
      <c r="F17">
        <f t="shared" si="1"/>
        <v>16.538333333213814</v>
      </c>
    </row>
    <row r="18" spans="1:6" x14ac:dyDescent="0.25">
      <c r="A18" s="93">
        <v>41424.434421296297</v>
      </c>
      <c r="B18">
        <v>1</v>
      </c>
      <c r="D18">
        <f t="shared" si="0"/>
        <v>1</v>
      </c>
    </row>
    <row r="19" spans="1:6" x14ac:dyDescent="0.25">
      <c r="A19" s="93">
        <v>41424.843981481485</v>
      </c>
      <c r="B19">
        <v>0</v>
      </c>
      <c r="D19">
        <f t="shared" si="0"/>
        <v>1</v>
      </c>
      <c r="E19">
        <f t="shared" ref="E19" si="8">(A19-A18)*24</f>
        <v>9.8294444445054978</v>
      </c>
      <c r="F19">
        <f t="shared" si="1"/>
        <v>16.538333333213814</v>
      </c>
    </row>
    <row r="20" spans="1:6" x14ac:dyDescent="0.25">
      <c r="A20" s="93">
        <v>41425.440555555557</v>
      </c>
      <c r="B20">
        <v>1</v>
      </c>
      <c r="D20">
        <f t="shared" si="0"/>
        <v>1</v>
      </c>
    </row>
    <row r="21" spans="1:6" x14ac:dyDescent="0.25">
      <c r="A21" s="93">
        <v>41425.445543981485</v>
      </c>
      <c r="B21">
        <v>0</v>
      </c>
      <c r="D21">
        <f t="shared" si="0"/>
        <v>1</v>
      </c>
      <c r="E21">
        <f t="shared" ref="E21" si="9">(A21-A20)*24</f>
        <v>0.11972222226904705</v>
      </c>
      <c r="F21">
        <f t="shared" si="1"/>
        <v>16.658055555482861</v>
      </c>
    </row>
    <row r="22" spans="1:6" x14ac:dyDescent="0.25">
      <c r="A22" s="93">
        <v>41430.625439814816</v>
      </c>
      <c r="B22">
        <v>1</v>
      </c>
      <c r="D22">
        <f t="shared" si="0"/>
        <v>1</v>
      </c>
    </row>
    <row r="23" spans="1:6" x14ac:dyDescent="0.25">
      <c r="A23" s="93">
        <v>41436.779270833336</v>
      </c>
      <c r="B23">
        <v>0</v>
      </c>
      <c r="D23">
        <f t="shared" si="0"/>
        <v>1</v>
      </c>
      <c r="E23">
        <f t="shared" ref="E23" si="10">(A23-A22)*24</f>
        <v>147.69194444449386</v>
      </c>
      <c r="F23">
        <f t="shared" si="1"/>
        <v>16.658055555482861</v>
      </c>
    </row>
    <row r="24" spans="1:6" x14ac:dyDescent="0.25">
      <c r="A24" s="93">
        <v>41437.452673611115</v>
      </c>
      <c r="B24">
        <v>1</v>
      </c>
      <c r="D24">
        <f t="shared" si="0"/>
        <v>1</v>
      </c>
    </row>
    <row r="25" spans="1:6" x14ac:dyDescent="0.25">
      <c r="A25" s="93">
        <v>41437.455671296295</v>
      </c>
      <c r="B25">
        <v>0</v>
      </c>
      <c r="D25">
        <f t="shared" si="0"/>
        <v>1</v>
      </c>
      <c r="E25">
        <f t="shared" ref="E25" si="11">(A25-A24)*24</f>
        <v>7.1944444323889911E-2</v>
      </c>
      <c r="F25">
        <f t="shared" si="1"/>
        <v>16.729999999806751</v>
      </c>
    </row>
    <row r="26" spans="1:6" x14ac:dyDescent="0.25">
      <c r="A26" s="93">
        <v>41439.375023148146</v>
      </c>
      <c r="B26">
        <v>1</v>
      </c>
      <c r="D26">
        <f t="shared" si="0"/>
        <v>1</v>
      </c>
    </row>
    <row r="27" spans="1:6" x14ac:dyDescent="0.25">
      <c r="A27" s="93">
        <v>41439.502835648149</v>
      </c>
      <c r="B27">
        <v>0</v>
      </c>
      <c r="D27">
        <f t="shared" si="0"/>
        <v>1</v>
      </c>
      <c r="E27">
        <f t="shared" ref="E27" si="12">(A27-A26)*24</f>
        <v>3.0675000000628643</v>
      </c>
      <c r="F27">
        <f t="shared" si="1"/>
        <v>19.797499999869615</v>
      </c>
    </row>
    <row r="28" spans="1:6" x14ac:dyDescent="0.25">
      <c r="A28" s="93">
        <v>41439.54482638889</v>
      </c>
      <c r="B28">
        <v>1</v>
      </c>
      <c r="D28">
        <f t="shared" si="0"/>
        <v>1</v>
      </c>
    </row>
    <row r="29" spans="1:6" x14ac:dyDescent="0.25">
      <c r="A29" s="93">
        <v>41439.563321759262</v>
      </c>
      <c r="B29">
        <v>0</v>
      </c>
      <c r="D29">
        <f t="shared" si="0"/>
        <v>1</v>
      </c>
      <c r="E29">
        <f t="shared" ref="E29" si="13">(A29-A28)*24</f>
        <v>0.44388888892717659</v>
      </c>
      <c r="F29">
        <f t="shared" si="1"/>
        <v>20.241388888796791</v>
      </c>
    </row>
    <row r="30" spans="1:6" x14ac:dyDescent="0.25">
      <c r="A30" s="93">
        <v>41439.56349537037</v>
      </c>
      <c r="B30">
        <v>1</v>
      </c>
      <c r="D30">
        <f t="shared" si="0"/>
        <v>1</v>
      </c>
    </row>
    <row r="31" spans="1:6" x14ac:dyDescent="0.25">
      <c r="A31" s="93">
        <v>41439.620821759258</v>
      </c>
      <c r="B31">
        <v>0</v>
      </c>
      <c r="D31">
        <f t="shared" si="0"/>
        <v>1</v>
      </c>
      <c r="E31">
        <f t="shared" ref="E31" si="14">(A31-A30)*24</f>
        <v>1.3758333332953043</v>
      </c>
      <c r="F31">
        <f t="shared" si="1"/>
        <v>21.617222222092096</v>
      </c>
    </row>
    <row r="32" spans="1:6" x14ac:dyDescent="0.25">
      <c r="A32" s="93">
        <v>41440.4530787037</v>
      </c>
      <c r="B32">
        <v>1</v>
      </c>
      <c r="D32">
        <f t="shared" si="0"/>
        <v>1</v>
      </c>
    </row>
    <row r="33" spans="1:8" x14ac:dyDescent="0.25">
      <c r="A33" s="93">
        <v>41440.459837962961</v>
      </c>
      <c r="B33">
        <v>0</v>
      </c>
      <c r="D33">
        <f t="shared" si="0"/>
        <v>1</v>
      </c>
      <c r="E33">
        <f t="shared" ref="E33" si="15">(A33-A32)*24</f>
        <v>0.1622222222504206</v>
      </c>
      <c r="F33">
        <f t="shared" si="1"/>
        <v>21.779444444342516</v>
      </c>
    </row>
    <row r="34" spans="1:8" x14ac:dyDescent="0.25">
      <c r="A34" s="93">
        <v>41440.532002314816</v>
      </c>
      <c r="B34">
        <v>1</v>
      </c>
      <c r="D34">
        <f t="shared" si="0"/>
        <v>1</v>
      </c>
    </row>
    <row r="35" spans="1:8" x14ac:dyDescent="0.25">
      <c r="A35" s="93">
        <v>41440.535358796296</v>
      </c>
      <c r="B35">
        <v>0</v>
      </c>
      <c r="D35">
        <f t="shared" si="0"/>
        <v>1</v>
      </c>
      <c r="E35">
        <f t="shared" ref="E35" si="16">(A35-A34)*24</f>
        <v>8.0555555527098477E-2</v>
      </c>
      <c r="F35">
        <f t="shared" si="1"/>
        <v>21.859999999869615</v>
      </c>
    </row>
    <row r="36" spans="1:8" x14ac:dyDescent="0.25">
      <c r="A36" s="93">
        <v>41440.535497685189</v>
      </c>
      <c r="B36">
        <v>1</v>
      </c>
      <c r="D36">
        <f t="shared" si="0"/>
        <v>1</v>
      </c>
    </row>
    <row r="37" spans="1:8" x14ac:dyDescent="0.25">
      <c r="A37" s="93">
        <v>41440.536562499998</v>
      </c>
      <c r="B37">
        <v>0</v>
      </c>
      <c r="D37">
        <f t="shared" si="0"/>
        <v>1</v>
      </c>
      <c r="E37">
        <f t="shared" ref="E37" si="17">(A37-A36)*24</f>
        <v>2.5555555417668074E-2</v>
      </c>
      <c r="F37">
        <f t="shared" si="1"/>
        <v>21.885555555287283</v>
      </c>
    </row>
    <row r="38" spans="1:8" x14ac:dyDescent="0.25">
      <c r="A38" s="93">
        <v>41440.621099537035</v>
      </c>
      <c r="B38">
        <v>1</v>
      </c>
      <c r="D38">
        <f t="shared" si="0"/>
        <v>1</v>
      </c>
    </row>
    <row r="39" spans="1:8" x14ac:dyDescent="0.25">
      <c r="A39" s="93">
        <v>41440.748356481483</v>
      </c>
      <c r="B39">
        <v>0</v>
      </c>
      <c r="D39">
        <f t="shared" si="0"/>
        <v>1</v>
      </c>
      <c r="E39">
        <f t="shared" ref="E39" si="18">(A39-A38)*24</f>
        <v>3.0541666667559184</v>
      </c>
      <c r="F39">
        <f t="shared" si="1"/>
        <v>24.939722222043201</v>
      </c>
    </row>
    <row r="40" spans="1:8" x14ac:dyDescent="0.25">
      <c r="A40" s="93">
        <v>41441.668564814812</v>
      </c>
      <c r="B40">
        <v>1</v>
      </c>
      <c r="D40">
        <f t="shared" si="0"/>
        <v>1</v>
      </c>
    </row>
    <row r="41" spans="1:8" x14ac:dyDescent="0.25">
      <c r="A41" s="93">
        <v>41441.673368055555</v>
      </c>
      <c r="B41">
        <v>0</v>
      </c>
      <c r="D41">
        <f t="shared" si="0"/>
        <v>1</v>
      </c>
      <c r="E41">
        <f t="shared" ref="E41" si="19">(A41-A40)*24</f>
        <v>0.11527777783339843</v>
      </c>
      <c r="F41">
        <f t="shared" si="1"/>
        <v>25.0549999998766</v>
      </c>
    </row>
    <row r="42" spans="1:8" x14ac:dyDescent="0.25">
      <c r="A42" s="93">
        <v>41441.673564814817</v>
      </c>
      <c r="B42">
        <v>1</v>
      </c>
      <c r="D42">
        <f t="shared" si="0"/>
        <v>1</v>
      </c>
    </row>
    <row r="43" spans="1:8" x14ac:dyDescent="0.25">
      <c r="A43" s="93">
        <v>41441.686354166668</v>
      </c>
      <c r="B43">
        <v>0</v>
      </c>
      <c r="D43">
        <f t="shared" si="0"/>
        <v>1</v>
      </c>
      <c r="E43">
        <f t="shared" ref="E43" si="20">(A43-A42)*24</f>
        <v>0.30694444442633539</v>
      </c>
      <c r="F43">
        <f t="shared" si="1"/>
        <v>25.361944444302935</v>
      </c>
      <c r="H43">
        <f>F43/(A43-A2)*7</f>
        <v>7.0443569015820948</v>
      </c>
    </row>
    <row r="44" spans="1:8" x14ac:dyDescent="0.25">
      <c r="A44" s="93">
        <v>41441.686689814815</v>
      </c>
      <c r="B44">
        <v>1</v>
      </c>
      <c r="D44">
        <f t="shared" si="0"/>
        <v>1</v>
      </c>
    </row>
    <row r="45" spans="1:8" x14ac:dyDescent="0.25">
      <c r="A45" s="93">
        <v>41441.714756944442</v>
      </c>
      <c r="B45">
        <v>0</v>
      </c>
      <c r="E45">
        <f t="shared" ref="E45" si="21">(A45-A44)*24</f>
        <v>0.67361111106583849</v>
      </c>
      <c r="F45">
        <f t="shared" si="1"/>
        <v>26.035555555368774</v>
      </c>
    </row>
    <row r="46" spans="1:8" x14ac:dyDescent="0.25">
      <c r="A46" s="93">
        <v>41441.806527777779</v>
      </c>
      <c r="B46">
        <v>1</v>
      </c>
    </row>
    <row r="47" spans="1:8" x14ac:dyDescent="0.25">
      <c r="A47" s="93">
        <v>41441.958692129629</v>
      </c>
      <c r="B47">
        <v>0</v>
      </c>
      <c r="E47">
        <f t="shared" ref="E47" si="22">(A47-A46)*24</f>
        <v>3.6519444443983957</v>
      </c>
      <c r="F47">
        <f t="shared" si="1"/>
        <v>29.687499999767169</v>
      </c>
    </row>
    <row r="48" spans="1:8" x14ac:dyDescent="0.25">
      <c r="A48" s="93">
        <v>41442.383113425924</v>
      </c>
      <c r="B48">
        <v>1</v>
      </c>
    </row>
    <row r="49" spans="1:6" x14ac:dyDescent="0.25">
      <c r="A49" s="93">
        <v>41442.776689814818</v>
      </c>
      <c r="B49">
        <v>0</v>
      </c>
      <c r="E49">
        <f t="shared" ref="E49" si="23">(A49-A48)*24</f>
        <v>9.4458333334769122</v>
      </c>
      <c r="F49">
        <f t="shared" si="1"/>
        <v>29.687499999767169</v>
      </c>
    </row>
    <row r="50" spans="1:6" x14ac:dyDescent="0.25">
      <c r="A50" s="93">
        <v>41442.792245370372</v>
      </c>
      <c r="B50">
        <v>1</v>
      </c>
    </row>
    <row r="51" spans="1:6" x14ac:dyDescent="0.25">
      <c r="A51" s="93">
        <v>41442.792673611111</v>
      </c>
      <c r="B51">
        <v>0</v>
      </c>
      <c r="E51">
        <f t="shared" ref="E51" si="24">(A51-A50)*24</f>
        <v>1.0277777735609561E-2</v>
      </c>
      <c r="F51">
        <f t="shared" si="1"/>
        <v>29.697777777502779</v>
      </c>
    </row>
    <row r="52" spans="1:6" x14ac:dyDescent="0.25">
      <c r="A52" s="93">
        <v>41442.814456018517</v>
      </c>
      <c r="B52">
        <v>1</v>
      </c>
    </row>
    <row r="53" spans="1:6" x14ac:dyDescent="0.25">
      <c r="A53" s="93">
        <v>41442.832118055558</v>
      </c>
      <c r="B53">
        <v>0</v>
      </c>
      <c r="E53">
        <f t="shared" ref="E53" si="25">(A53-A52)*24</f>
        <v>0.4238888889667578</v>
      </c>
      <c r="F53">
        <f t="shared" si="1"/>
        <v>30.121666666469537</v>
      </c>
    </row>
    <row r="54" spans="1:6" x14ac:dyDescent="0.25">
      <c r="A54" s="93">
        <v>41442.919444444444</v>
      </c>
      <c r="B54">
        <v>1</v>
      </c>
    </row>
    <row r="55" spans="1:6" x14ac:dyDescent="0.25">
      <c r="A55" s="93">
        <v>41442.922858796293</v>
      </c>
      <c r="B55">
        <v>0</v>
      </c>
      <c r="E55">
        <f t="shared" ref="E55" si="26">(A55-A54)*24</f>
        <v>8.1944444391410798E-2</v>
      </c>
      <c r="F55">
        <f t="shared" si="1"/>
        <v>30.203611110860948</v>
      </c>
    </row>
    <row r="56" spans="1:6" x14ac:dyDescent="0.25">
      <c r="A56" s="93">
        <v>41443.382256944446</v>
      </c>
      <c r="B56">
        <v>1</v>
      </c>
    </row>
    <row r="57" spans="1:6" x14ac:dyDescent="0.25">
      <c r="A57" s="93">
        <v>41443.443460648145</v>
      </c>
      <c r="B57">
        <v>0</v>
      </c>
      <c r="E57">
        <f t="shared" ref="E57" si="27">(A57-A56)*24</f>
        <v>1.4688888887758367</v>
      </c>
      <c r="F57">
        <f t="shared" si="1"/>
        <v>31.672499999636784</v>
      </c>
    </row>
    <row r="58" spans="1:6" x14ac:dyDescent="0.25">
      <c r="A58" s="93">
        <v>41443.564282407409</v>
      </c>
      <c r="B58">
        <v>1</v>
      </c>
    </row>
    <row r="59" spans="1:6" x14ac:dyDescent="0.25">
      <c r="A59" s="93">
        <v>41443.565150462964</v>
      </c>
      <c r="B59">
        <v>0</v>
      </c>
      <c r="E59">
        <f t="shared" ref="E59" si="28">(A59-A58)*24</f>
        <v>2.083333331393078E-2</v>
      </c>
      <c r="F59">
        <f t="shared" si="1"/>
        <v>31.693333332950715</v>
      </c>
    </row>
    <row r="60" spans="1:6" x14ac:dyDescent="0.25">
      <c r="A60" s="93">
        <v>41443.565300925926</v>
      </c>
      <c r="B60">
        <v>1</v>
      </c>
    </row>
    <row r="61" spans="1:6" x14ac:dyDescent="0.25">
      <c r="A61" s="93">
        <v>41443.566550925927</v>
      </c>
      <c r="B61">
        <v>0</v>
      </c>
      <c r="E61">
        <f t="shared" ref="E61" si="29">(A61-A60)*24</f>
        <v>3.0000000027939677E-2</v>
      </c>
      <c r="F61">
        <f t="shared" si="1"/>
        <v>31.723333332978655</v>
      </c>
    </row>
    <row r="62" spans="1:6" x14ac:dyDescent="0.25">
      <c r="A62" s="93">
        <v>41443.677071759259</v>
      </c>
      <c r="B62">
        <v>1</v>
      </c>
    </row>
    <row r="63" spans="1:6" x14ac:dyDescent="0.25">
      <c r="A63" s="93">
        <v>41443.678923611114</v>
      </c>
      <c r="B63">
        <v>1</v>
      </c>
      <c r="E63">
        <f t="shared" ref="E63" si="30">(A63-A62)*24</f>
        <v>4.4444444531109184E-2</v>
      </c>
      <c r="F63">
        <f t="shared" si="1"/>
        <v>31.767777777509764</v>
      </c>
    </row>
    <row r="64" spans="1:6" x14ac:dyDescent="0.25">
      <c r="A64" s="93">
        <v>41443.689675925925</v>
      </c>
      <c r="B64">
        <v>0</v>
      </c>
    </row>
    <row r="65" spans="1:6" x14ac:dyDescent="0.25">
      <c r="A65" s="93">
        <v>41443.853310185186</v>
      </c>
      <c r="B65">
        <v>1</v>
      </c>
      <c r="E65">
        <f t="shared" ref="E65" si="31">(A65-A64)*24</f>
        <v>3.9272222222643904</v>
      </c>
      <c r="F65">
        <f t="shared" si="1"/>
        <v>35.694999999774154</v>
      </c>
    </row>
    <row r="66" spans="1:6" x14ac:dyDescent="0.25">
      <c r="A66" s="93">
        <v>41443.857997685183</v>
      </c>
      <c r="B66">
        <v>0</v>
      </c>
    </row>
    <row r="67" spans="1:6" x14ac:dyDescent="0.25">
      <c r="A67" s="93">
        <v>41443.866898148146</v>
      </c>
      <c r="B67">
        <v>1</v>
      </c>
      <c r="E67">
        <f t="shared" ref="E67" si="32">(A67-A66)*24</f>
        <v>0.21361111110309139</v>
      </c>
      <c r="F67">
        <f t="shared" si="1"/>
        <v>35.908611110877246</v>
      </c>
    </row>
    <row r="68" spans="1:6" x14ac:dyDescent="0.25">
      <c r="A68" s="93">
        <v>41443.877418981479</v>
      </c>
      <c r="B68">
        <v>0</v>
      </c>
    </row>
    <row r="69" spans="1:6" x14ac:dyDescent="0.25">
      <c r="A69" s="93">
        <v>41444.547372685185</v>
      </c>
      <c r="B69">
        <v>1</v>
      </c>
      <c r="E69">
        <f t="shared" ref="E69" si="33">(A69-A68)*24</f>
        <v>16.07888888893649</v>
      </c>
      <c r="F69">
        <f t="shared" ref="F69:F131" si="34">IF(E69&gt;6,F67,E69+F67)</f>
        <v>35.908611110877246</v>
      </c>
    </row>
    <row r="70" spans="1:6" x14ac:dyDescent="0.25">
      <c r="A70" s="93">
        <v>41444.585185185184</v>
      </c>
      <c r="B70">
        <v>0</v>
      </c>
    </row>
    <row r="71" spans="1:6" x14ac:dyDescent="0.25">
      <c r="A71" s="93">
        <v>41444.610023148147</v>
      </c>
      <c r="B71">
        <v>1</v>
      </c>
      <c r="E71">
        <f t="shared" ref="E71" si="35">(A71-A70)*24</f>
        <v>0.59611111111007631</v>
      </c>
      <c r="F71">
        <f t="shared" si="34"/>
        <v>36.504722221987322</v>
      </c>
    </row>
    <row r="72" spans="1:6" x14ac:dyDescent="0.25">
      <c r="A72" s="93">
        <v>41444.638043981482</v>
      </c>
      <c r="B72">
        <v>0</v>
      </c>
    </row>
    <row r="73" spans="1:6" x14ac:dyDescent="0.25">
      <c r="A73" s="93">
        <v>41446.424988425926</v>
      </c>
      <c r="B73">
        <v>1</v>
      </c>
      <c r="E73">
        <f t="shared" ref="E73" si="36">(A73-A72)*24</f>
        <v>42.88666666665813</v>
      </c>
      <c r="F73">
        <f t="shared" si="34"/>
        <v>36.504722221987322</v>
      </c>
    </row>
    <row r="74" spans="1:6" x14ac:dyDescent="0.25">
      <c r="A74" s="93">
        <v>41446.546331018515</v>
      </c>
      <c r="B74">
        <v>1</v>
      </c>
    </row>
    <row r="75" spans="1:6" x14ac:dyDescent="0.25">
      <c r="A75" s="93">
        <v>41446.585509259261</v>
      </c>
      <c r="B75">
        <v>0</v>
      </c>
      <c r="E75">
        <f t="shared" ref="E75" si="37">(A75-A74)*24</f>
        <v>0.94027777790324762</v>
      </c>
      <c r="F75">
        <f t="shared" si="34"/>
        <v>37.44499999989057</v>
      </c>
    </row>
    <row r="76" spans="1:6" x14ac:dyDescent="0.25">
      <c r="A76" s="93">
        <v>41446.805775462963</v>
      </c>
      <c r="B76">
        <v>1</v>
      </c>
    </row>
    <row r="77" spans="1:6" x14ac:dyDescent="0.25">
      <c r="A77" s="93">
        <v>41446.808356481481</v>
      </c>
      <c r="B77">
        <v>0</v>
      </c>
      <c r="E77">
        <f t="shared" ref="E77" si="38">(A77-A76)*24</f>
        <v>6.1944444430992007E-2</v>
      </c>
      <c r="F77">
        <f t="shared" si="34"/>
        <v>37.506944444321562</v>
      </c>
    </row>
    <row r="78" spans="1:6" x14ac:dyDescent="0.25">
      <c r="A78" s="93">
        <v>41448.475960648146</v>
      </c>
      <c r="B78">
        <v>1</v>
      </c>
    </row>
    <row r="79" spans="1:6" x14ac:dyDescent="0.25">
      <c r="A79" s="93">
        <v>41448.531493055554</v>
      </c>
      <c r="B79">
        <v>0</v>
      </c>
      <c r="E79">
        <f t="shared" ref="E79" si="39">(A79-A78)*24</f>
        <v>1.3327777778031304</v>
      </c>
      <c r="F79">
        <f t="shared" si="34"/>
        <v>38.839722222124692</v>
      </c>
    </row>
    <row r="80" spans="1:6" x14ac:dyDescent="0.25">
      <c r="A80" s="93">
        <v>41449.443668981483</v>
      </c>
      <c r="B80">
        <v>1</v>
      </c>
    </row>
    <row r="81" spans="1:6" x14ac:dyDescent="0.25">
      <c r="A81" s="93">
        <v>41449.750011574077</v>
      </c>
      <c r="B81">
        <v>0</v>
      </c>
      <c r="E81">
        <f t="shared" ref="E81" si="40">(A81-A80)*24</f>
        <v>7.3522222222527489</v>
      </c>
      <c r="F81">
        <f t="shared" si="34"/>
        <v>38.839722222124692</v>
      </c>
    </row>
    <row r="82" spans="1:6" x14ac:dyDescent="0.25">
      <c r="A82" s="93">
        <v>41451.365474537037</v>
      </c>
      <c r="B82">
        <v>1</v>
      </c>
    </row>
    <row r="83" spans="1:6" x14ac:dyDescent="0.25">
      <c r="A83" s="93">
        <v>41451.851238425923</v>
      </c>
      <c r="B83">
        <v>0</v>
      </c>
      <c r="E83">
        <f t="shared" ref="E83" si="41">(A83-A82)*24</f>
        <v>11.658333333267365</v>
      </c>
      <c r="F83">
        <f t="shared" si="34"/>
        <v>38.839722222124692</v>
      </c>
    </row>
    <row r="84" spans="1:6" x14ac:dyDescent="0.25">
      <c r="A84" s="93">
        <v>41452.769687499997</v>
      </c>
      <c r="B84">
        <v>1</v>
      </c>
    </row>
    <row r="85" spans="1:6" x14ac:dyDescent="0.25">
      <c r="A85" s="93">
        <v>41452.779097222221</v>
      </c>
      <c r="B85">
        <v>0</v>
      </c>
      <c r="E85">
        <f t="shared" ref="E85" si="42">(A85-A84)*24</f>
        <v>0.22583333338843659</v>
      </c>
      <c r="F85">
        <f t="shared" si="34"/>
        <v>39.065555555513129</v>
      </c>
    </row>
    <row r="86" spans="1:6" x14ac:dyDescent="0.25">
      <c r="A86" s="93">
        <v>41453.558912037035</v>
      </c>
      <c r="B86">
        <v>1</v>
      </c>
    </row>
    <row r="87" spans="1:6" x14ac:dyDescent="0.25">
      <c r="A87" s="93">
        <v>41453.572997685187</v>
      </c>
      <c r="B87">
        <v>0</v>
      </c>
      <c r="E87">
        <f t="shared" ref="E87" si="43">(A87-A86)*24</f>
        <v>0.33805555565049872</v>
      </c>
      <c r="F87">
        <f t="shared" si="34"/>
        <v>39.403611111163627</v>
      </c>
    </row>
    <row r="88" spans="1:6" x14ac:dyDescent="0.25">
      <c r="A88" s="93">
        <v>41453.588923611111</v>
      </c>
      <c r="B88">
        <v>1</v>
      </c>
    </row>
    <row r="89" spans="1:6" x14ac:dyDescent="0.25">
      <c r="A89" s="93">
        <v>41453.598240740743</v>
      </c>
      <c r="B89">
        <v>0</v>
      </c>
      <c r="E89">
        <f t="shared" ref="E89" si="44">(A89-A88)*24</f>
        <v>0.22361111117061228</v>
      </c>
      <c r="F89">
        <f t="shared" si="34"/>
        <v>39.62722222233424</v>
      </c>
    </row>
    <row r="90" spans="1:6" x14ac:dyDescent="0.25">
      <c r="A90" s="93">
        <v>41457.430532407408</v>
      </c>
      <c r="B90">
        <v>1</v>
      </c>
    </row>
    <row r="91" spans="1:6" x14ac:dyDescent="0.25">
      <c r="A91" s="93">
        <v>41457.566863425927</v>
      </c>
      <c r="B91">
        <v>0</v>
      </c>
      <c r="E91">
        <f t="shared" ref="E91" si="45">(A91-A90)*24</f>
        <v>3.2719444444519468</v>
      </c>
      <c r="F91">
        <f t="shared" si="34"/>
        <v>42.899166666786186</v>
      </c>
    </row>
    <row r="92" spans="1:6" x14ac:dyDescent="0.25">
      <c r="A92" s="93">
        <v>41457.568101851852</v>
      </c>
      <c r="B92">
        <v>1</v>
      </c>
    </row>
    <row r="93" spans="1:6" x14ac:dyDescent="0.25">
      <c r="A93" s="93">
        <v>41457.56863425926</v>
      </c>
      <c r="B93">
        <v>0</v>
      </c>
      <c r="E93">
        <f t="shared" ref="E93" si="46">(A93-A92)*24</f>
        <v>1.2777777796145529E-2</v>
      </c>
      <c r="F93">
        <f t="shared" si="34"/>
        <v>42.911944444582332</v>
      </c>
    </row>
    <row r="94" spans="1:6" x14ac:dyDescent="0.25">
      <c r="A94" s="93">
        <v>41457.586180555554</v>
      </c>
      <c r="B94">
        <v>0</v>
      </c>
    </row>
    <row r="95" spans="1:6" x14ac:dyDescent="0.25">
      <c r="A95" s="93">
        <v>41459.543796296297</v>
      </c>
      <c r="B95">
        <v>1</v>
      </c>
      <c r="E95">
        <f t="shared" ref="E95" si="47">(A95-A94)*24</f>
        <v>46.982777777826414</v>
      </c>
      <c r="F95">
        <f t="shared" si="34"/>
        <v>42.911944444582332</v>
      </c>
    </row>
    <row r="96" spans="1:6" x14ac:dyDescent="0.25">
      <c r="A96" s="93">
        <v>41459.557500000003</v>
      </c>
      <c r="B96">
        <v>0</v>
      </c>
    </row>
    <row r="97" spans="1:6" x14ac:dyDescent="0.25">
      <c r="A97" s="93">
        <v>41498.451111111113</v>
      </c>
      <c r="B97">
        <v>1</v>
      </c>
      <c r="E97">
        <f t="shared" ref="E97" si="48">(A97-A96)*24</f>
        <v>933.4466666666558</v>
      </c>
      <c r="F97">
        <f t="shared" si="34"/>
        <v>42.911944444582332</v>
      </c>
    </row>
    <row r="98" spans="1:6" x14ac:dyDescent="0.25">
      <c r="A98" s="93">
        <v>41498.455879629626</v>
      </c>
      <c r="B98">
        <v>0</v>
      </c>
    </row>
    <row r="99" spans="1:6" x14ac:dyDescent="0.25">
      <c r="A99" s="93">
        <v>41498.463217592594</v>
      </c>
      <c r="B99">
        <v>0</v>
      </c>
      <c r="E99">
        <f t="shared" ref="E99" si="49">(A99-A98)*24</f>
        <v>0.17611111124278978</v>
      </c>
      <c r="F99">
        <f t="shared" si="34"/>
        <v>43.088055555825122</v>
      </c>
    </row>
    <row r="100" spans="1:6" x14ac:dyDescent="0.25">
      <c r="A100" s="93">
        <v>41499.39135416667</v>
      </c>
      <c r="B100">
        <v>1</v>
      </c>
    </row>
    <row r="101" spans="1:6" x14ac:dyDescent="0.25">
      <c r="A101" s="93">
        <v>41499.392835648148</v>
      </c>
      <c r="B101">
        <v>0</v>
      </c>
      <c r="E101">
        <f t="shared" ref="E101" si="50">(A101-A100)*24</f>
        <v>3.5555555485188961E-2</v>
      </c>
      <c r="F101">
        <f t="shared" si="34"/>
        <v>43.123611111310311</v>
      </c>
    </row>
    <row r="102" spans="1:6" x14ac:dyDescent="0.25">
      <c r="A102" s="93">
        <v>42625.420451388891</v>
      </c>
      <c r="B102">
        <v>1</v>
      </c>
    </row>
    <row r="103" spans="1:6" x14ac:dyDescent="0.25">
      <c r="A103" s="93">
        <v>42625.422013888892</v>
      </c>
      <c r="B103">
        <v>0</v>
      </c>
      <c r="E103">
        <f t="shared" ref="E103" si="51">(A103-A102)*24</f>
        <v>3.7500000034924597E-2</v>
      </c>
      <c r="F103">
        <f t="shared" si="34"/>
        <v>43.161111111345235</v>
      </c>
    </row>
    <row r="104" spans="1:6" x14ac:dyDescent="0.25">
      <c r="A104" s="93">
        <v>42625.4221875</v>
      </c>
      <c r="B104">
        <v>1</v>
      </c>
    </row>
    <row r="105" spans="1:6" x14ac:dyDescent="0.25">
      <c r="E105">
        <f t="shared" ref="E105" si="52">(A105-A104)*24</f>
        <v>-1023010.1325000001</v>
      </c>
      <c r="F105">
        <f t="shared" si="34"/>
        <v>-1022966.9713888888</v>
      </c>
    </row>
    <row r="107" spans="1:6" x14ac:dyDescent="0.25">
      <c r="E107">
        <f t="shared" ref="E107" si="53">(A107-A106)*24</f>
        <v>0</v>
      </c>
      <c r="F107">
        <f t="shared" si="34"/>
        <v>-1022966.9713888888</v>
      </c>
    </row>
    <row r="109" spans="1:6" x14ac:dyDescent="0.25">
      <c r="E109">
        <f t="shared" ref="E109" si="54">(A109-A108)*24</f>
        <v>0</v>
      </c>
      <c r="F109">
        <f t="shared" si="34"/>
        <v>-1022966.9713888888</v>
      </c>
    </row>
    <row r="111" spans="1:6" x14ac:dyDescent="0.25">
      <c r="E111">
        <f t="shared" ref="E111" si="55">(A111-A110)*24</f>
        <v>0</v>
      </c>
      <c r="F111">
        <f t="shared" si="34"/>
        <v>-1022966.9713888888</v>
      </c>
    </row>
    <row r="113" spans="5:6" x14ac:dyDescent="0.25">
      <c r="E113">
        <f t="shared" ref="E113" si="56">(A113-A112)*24</f>
        <v>0</v>
      </c>
      <c r="F113">
        <f t="shared" si="34"/>
        <v>-1022966.9713888888</v>
      </c>
    </row>
    <row r="115" spans="5:6" x14ac:dyDescent="0.25">
      <c r="E115">
        <f t="shared" ref="E115" si="57">(A115-A114)*24</f>
        <v>0</v>
      </c>
      <c r="F115">
        <f t="shared" si="34"/>
        <v>-1022966.9713888888</v>
      </c>
    </row>
    <row r="117" spans="5:6" x14ac:dyDescent="0.25">
      <c r="E117">
        <f t="shared" ref="E117" si="58">(A117-A116)*24</f>
        <v>0</v>
      </c>
      <c r="F117">
        <f t="shared" si="34"/>
        <v>-1022966.9713888888</v>
      </c>
    </row>
    <row r="119" spans="5:6" x14ac:dyDescent="0.25">
      <c r="E119">
        <f t="shared" ref="E119" si="59">(A119-A118)*24</f>
        <v>0</v>
      </c>
      <c r="F119">
        <f t="shared" si="34"/>
        <v>-1022966.9713888888</v>
      </c>
    </row>
    <row r="121" spans="5:6" x14ac:dyDescent="0.25">
      <c r="E121">
        <f t="shared" ref="E121" si="60">(A121-A120)*24</f>
        <v>0</v>
      </c>
      <c r="F121">
        <f t="shared" si="34"/>
        <v>-1022966.9713888888</v>
      </c>
    </row>
    <row r="123" spans="5:6" x14ac:dyDescent="0.25">
      <c r="E123">
        <f t="shared" ref="E123" si="61">(A123-A122)*24</f>
        <v>0</v>
      </c>
      <c r="F123">
        <f t="shared" si="34"/>
        <v>-1022966.9713888888</v>
      </c>
    </row>
    <row r="125" spans="5:6" x14ac:dyDescent="0.25">
      <c r="E125">
        <f t="shared" ref="E125" si="62">(A125-A124)*24</f>
        <v>0</v>
      </c>
      <c r="F125">
        <f t="shared" si="34"/>
        <v>-1022966.9713888888</v>
      </c>
    </row>
    <row r="127" spans="5:6" x14ac:dyDescent="0.25">
      <c r="E127">
        <f t="shared" ref="E127" si="63">(A127-A126)*24</f>
        <v>0</v>
      </c>
      <c r="F127">
        <f t="shared" si="34"/>
        <v>-1022966.9713888888</v>
      </c>
    </row>
    <row r="129" spans="5:6" x14ac:dyDescent="0.25">
      <c r="E129">
        <f t="shared" ref="E129" si="64">(A129-A128)*24</f>
        <v>0</v>
      </c>
      <c r="F129">
        <f t="shared" si="34"/>
        <v>-1022966.9713888888</v>
      </c>
    </row>
    <row r="131" spans="5:6" x14ac:dyDescent="0.25">
      <c r="E131">
        <f t="shared" ref="E131" si="65">(A131-A130)*24</f>
        <v>0</v>
      </c>
      <c r="F131">
        <f t="shared" si="34"/>
        <v>-1022966.9713888888</v>
      </c>
    </row>
    <row r="133" spans="5:6" x14ac:dyDescent="0.25">
      <c r="E133">
        <f t="shared" ref="E133" si="66">(A133-A132)*24</f>
        <v>0</v>
      </c>
      <c r="F133">
        <f t="shared" ref="F133:F177" si="67">IF(E133&gt;6,F131,E133+F131)</f>
        <v>-1022966.9713888888</v>
      </c>
    </row>
    <row r="135" spans="5:6" x14ac:dyDescent="0.25">
      <c r="E135">
        <f t="shared" ref="E135" si="68">(A135-A134)*24</f>
        <v>0</v>
      </c>
      <c r="F135">
        <f t="shared" si="67"/>
        <v>-1022966.9713888888</v>
      </c>
    </row>
    <row r="137" spans="5:6" x14ac:dyDescent="0.25">
      <c r="E137">
        <f t="shared" ref="E137" si="69">(A137-A136)*24</f>
        <v>0</v>
      </c>
      <c r="F137">
        <f t="shared" si="67"/>
        <v>-1022966.9713888888</v>
      </c>
    </row>
    <row r="139" spans="5:6" x14ac:dyDescent="0.25">
      <c r="E139">
        <f t="shared" ref="E139" si="70">(A139-A138)*24</f>
        <v>0</v>
      </c>
      <c r="F139">
        <f t="shared" si="67"/>
        <v>-1022966.9713888888</v>
      </c>
    </row>
    <row r="141" spans="5:6" x14ac:dyDescent="0.25">
      <c r="E141">
        <f t="shared" ref="E141" si="71">(A141-A140)*24</f>
        <v>0</v>
      </c>
      <c r="F141">
        <f t="shared" si="67"/>
        <v>-1022966.9713888888</v>
      </c>
    </row>
    <row r="143" spans="5:6" x14ac:dyDescent="0.25">
      <c r="E143">
        <f t="shared" ref="E143" si="72">(A143-A142)*24</f>
        <v>0</v>
      </c>
      <c r="F143">
        <f t="shared" si="67"/>
        <v>-1022966.9713888888</v>
      </c>
    </row>
    <row r="145" spans="5:6" x14ac:dyDescent="0.25">
      <c r="E145">
        <f t="shared" ref="E145" si="73">(A145-A144)*24</f>
        <v>0</v>
      </c>
      <c r="F145">
        <f t="shared" si="67"/>
        <v>-1022966.9713888888</v>
      </c>
    </row>
    <row r="147" spans="5:6" x14ac:dyDescent="0.25">
      <c r="E147">
        <f t="shared" ref="E147" si="74">(A147-A146)*24</f>
        <v>0</v>
      </c>
      <c r="F147">
        <f t="shared" si="67"/>
        <v>-1022966.9713888888</v>
      </c>
    </row>
    <row r="149" spans="5:6" x14ac:dyDescent="0.25">
      <c r="E149">
        <f t="shared" ref="E149" si="75">(A149-A148)*24</f>
        <v>0</v>
      </c>
      <c r="F149">
        <f t="shared" si="67"/>
        <v>-1022966.9713888888</v>
      </c>
    </row>
    <row r="151" spans="5:6" x14ac:dyDescent="0.25">
      <c r="E151">
        <f t="shared" ref="E151" si="76">(A151-A150)*24</f>
        <v>0</v>
      </c>
      <c r="F151">
        <f t="shared" si="67"/>
        <v>-1022966.9713888888</v>
      </c>
    </row>
    <row r="153" spans="5:6" x14ac:dyDescent="0.25">
      <c r="E153">
        <f t="shared" ref="E153" si="77">(A153-A152)*24</f>
        <v>0</v>
      </c>
      <c r="F153">
        <f t="shared" si="67"/>
        <v>-1022966.9713888888</v>
      </c>
    </row>
    <row r="155" spans="5:6" x14ac:dyDescent="0.25">
      <c r="E155">
        <f t="shared" ref="E155" si="78">(A155-A154)*24</f>
        <v>0</v>
      </c>
      <c r="F155">
        <f t="shared" si="67"/>
        <v>-1022966.9713888888</v>
      </c>
    </row>
    <row r="157" spans="5:6" x14ac:dyDescent="0.25">
      <c r="E157">
        <f t="shared" ref="E157" si="79">(A157-A156)*24</f>
        <v>0</v>
      </c>
      <c r="F157">
        <f t="shared" si="67"/>
        <v>-1022966.9713888888</v>
      </c>
    </row>
    <row r="159" spans="5:6" x14ac:dyDescent="0.25">
      <c r="E159">
        <f t="shared" ref="E159" si="80">(A159-A158)*24</f>
        <v>0</v>
      </c>
      <c r="F159">
        <f t="shared" si="67"/>
        <v>-1022966.9713888888</v>
      </c>
    </row>
    <row r="161" spans="5:6" x14ac:dyDescent="0.25">
      <c r="E161">
        <f t="shared" ref="E161" si="81">(A161-A160)*24</f>
        <v>0</v>
      </c>
      <c r="F161">
        <f t="shared" si="67"/>
        <v>-1022966.9713888888</v>
      </c>
    </row>
    <row r="163" spans="5:6" x14ac:dyDescent="0.25">
      <c r="E163">
        <f t="shared" ref="E163" si="82">(A163-A162)*24</f>
        <v>0</v>
      </c>
      <c r="F163">
        <f t="shared" si="67"/>
        <v>-1022966.9713888888</v>
      </c>
    </row>
    <row r="165" spans="5:6" x14ac:dyDescent="0.25">
      <c r="E165">
        <f t="shared" ref="E165" si="83">(A165-A164)*24</f>
        <v>0</v>
      </c>
      <c r="F165">
        <f t="shared" si="67"/>
        <v>-1022966.9713888888</v>
      </c>
    </row>
    <row r="167" spans="5:6" x14ac:dyDescent="0.25">
      <c r="E167">
        <f t="shared" ref="E167" si="84">(A167-A166)*24</f>
        <v>0</v>
      </c>
      <c r="F167">
        <f t="shared" si="67"/>
        <v>-1022966.9713888888</v>
      </c>
    </row>
    <row r="169" spans="5:6" x14ac:dyDescent="0.25">
      <c r="E169">
        <f t="shared" ref="E169" si="85">(A169-A168)*24</f>
        <v>0</v>
      </c>
      <c r="F169">
        <f t="shared" si="67"/>
        <v>-1022966.9713888888</v>
      </c>
    </row>
    <row r="171" spans="5:6" x14ac:dyDescent="0.25">
      <c r="E171">
        <f t="shared" ref="E171" si="86">(A171-A170)*24</f>
        <v>0</v>
      </c>
      <c r="F171">
        <f t="shared" si="67"/>
        <v>-1022966.9713888888</v>
      </c>
    </row>
    <row r="173" spans="5:6" x14ac:dyDescent="0.25">
      <c r="E173">
        <f t="shared" ref="E173" si="87">(A173-A172)*24</f>
        <v>0</v>
      </c>
      <c r="F173">
        <f t="shared" si="67"/>
        <v>-1022966.9713888888</v>
      </c>
    </row>
    <row r="175" spans="5:6" x14ac:dyDescent="0.25">
      <c r="E175">
        <f t="shared" ref="E175" si="88">(A175-A174)*24</f>
        <v>0</v>
      </c>
      <c r="F175">
        <f t="shared" si="67"/>
        <v>-1022966.9713888888</v>
      </c>
    </row>
    <row r="177" spans="5:6" x14ac:dyDescent="0.25">
      <c r="E177">
        <f t="shared" ref="E177" si="89">(A177-A176)*24</f>
        <v>0</v>
      </c>
      <c r="F177">
        <f t="shared" si="67"/>
        <v>-1022966.9713888888</v>
      </c>
    </row>
  </sheetData>
  <conditionalFormatting sqref="D3:D44">
    <cfRule type="colorScale" priority="17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Board</vt:lpstr>
      <vt:lpstr>Inputs</vt:lpstr>
      <vt:lpstr>Test board</vt:lpstr>
      <vt:lpstr>Board creator</vt:lpstr>
      <vt:lpstr>Completion</vt:lpstr>
      <vt:lpstr>Variables</vt:lpstr>
      <vt:lpstr>a</vt:lpstr>
      <vt:lpstr>b</vt:lpstr>
    </vt:vector>
  </TitlesOfParts>
  <Company>NSW, Department of Education and Training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Houghton</dc:creator>
  <cp:lastModifiedBy>andrew</cp:lastModifiedBy>
  <dcterms:created xsi:type="dcterms:W3CDTF">2013-03-21T23:26:19Z</dcterms:created>
  <dcterms:modified xsi:type="dcterms:W3CDTF">2016-09-12T00:08:03Z</dcterms:modified>
</cp:coreProperties>
</file>